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ettings" sheetId="2" state="visible" r:id="rId2"/>
    <sheet name="Lines" sheetId="3" state="visible" r:id="rId3"/>
    <sheet name="Mapping" sheetId="4" state="visible" r:id="rId4"/>
    <sheet name="Notes" sheetId="5" state="visible" r:id="rId5"/>
    <sheet name="Docs" sheetId="6" state="visible" r:id="rId6"/>
    <sheet name="Tracker" sheetId="7" state="visible" r:id="rId7"/>
    <sheet name="Detail" sheetId="8" state="visible" r:id="rId8"/>
    <sheet name="Review" sheetId="9" state="visible" r:id="rId9"/>
  </sheets>
  <definedNames>
    <definedName name="Tolerance">Settings!$B$2</definedName>
  </definedNames>
  <calcPr calcId="124519" fullCalcOnLoad="1"/>
</workbook>
</file>

<file path=xl/styles.xml><?xml version="1.0" encoding="utf-8"?>
<styleSheet xmlns="http://schemas.openxmlformats.org/spreadsheetml/2006/main">
  <numFmts count="2">
    <numFmt numFmtId="164" formatCode="#,##0.00;(#,##0.00);&quot;-&quot;"/>
    <numFmt numFmtId="165" formatCode="0.0%"/>
  </numFmts>
  <fonts count="4">
    <font>
      <name val="Calibri"/>
      <family val="2"/>
      <color theme="1"/>
      <sz val="11"/>
      <scheme val="minor"/>
    </font>
    <font>
      <name val="Arial"/>
      <b val="1"/>
    </font>
    <font>
      <name val="Arial"/>
    </font>
    <font>
      <name val="Arial"/>
      <color rgb="000000FF"/>
    </font>
  </fonts>
  <fills count="4">
    <fill>
      <patternFill/>
    </fill>
    <fill>
      <patternFill patternType="gray125"/>
    </fill>
    <fill>
      <patternFill patternType="solid">
        <fgColor rgb="00FFFFCC"/>
      </patternFill>
    </fill>
    <fill>
      <patternFill patternType="solid">
        <fgColor rgb="00DDEBF7"/>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2" fontId="3" fillId="2" borderId="0" pivotButton="0" quotePrefix="0" xfId="0"/>
    <xf numFmtId="0" fontId="3" fillId="2" borderId="0" pivotButton="0" quotePrefix="0" xfId="0"/>
    <xf numFmtId="0" fontId="1" fillId="3" borderId="0" applyAlignment="1" pivotButton="0" quotePrefix="0" xfId="0">
      <alignment vertical="top" wrapText="1"/>
    </xf>
    <xf numFmtId="0" fontId="3" fillId="0" borderId="0" pivotButton="0" quotePrefix="0" xfId="0"/>
    <xf numFmtId="1" fontId="3" fillId="0" borderId="0" pivotButton="0" quotePrefix="0" xfId="0"/>
    <xf numFmtId="164" fontId="3" fillId="0" borderId="0" pivotButton="0" quotePrefix="0" xfId="0"/>
    <xf numFmtId="164" fontId="2"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60" customWidth="1" min="1" max="1"/>
  </cols>
  <sheetData>
    <row r="1">
      <c r="A1" s="1" t="inlineStr">
        <is>
          <t>Audit ledger — example workbook</t>
        </is>
      </c>
    </row>
    <row r="2">
      <c r="A2" s="2" t="inlineStr">
        <is>
          <t>Built from workbook.md on 2026-09-13 with generic names. Sample data only: Project Alpha, Vendor A, Vendor B.</t>
        </is>
      </c>
    </row>
    <row r="3">
      <c r="A3" s="2" t="inlineStr"/>
    </row>
    <row r="4">
      <c r="A4" s="1" t="inlineStr">
        <is>
          <t>How to read the colours</t>
        </is>
      </c>
    </row>
    <row r="5">
      <c r="A5" s="2" t="inlineStr">
        <is>
          <t>Blue text on a yellow fill = data you paste or type. Black text = formulas; do not edit.</t>
        </is>
      </c>
    </row>
    <row r="6">
      <c r="A6" s="2" t="inlineStr"/>
    </row>
    <row r="7">
      <c r="A7" s="1" t="inlineStr">
        <is>
          <t>Sheets</t>
        </is>
      </c>
    </row>
    <row r="8">
      <c r="A8" s="2" t="inlineStr">
        <is>
          <t>Lines      Every row from every Stage 1 CSV, pasted under the last row. Columns A–V are the CSV; W onward are helper formulas that must be filled down to the last row.</t>
        </is>
      </c>
    </row>
    <row r="9">
      <c r="A9" s="2" t="inlineStr">
        <is>
          <t>Mapping    The label table. Paste this whole range into every Stage 1 chat. Add a row when Review shows 'no mapping rule'.</t>
        </is>
      </c>
    </row>
    <row r="10">
      <c r="A10" s="2" t="inlineStr">
        <is>
          <t>Docs       One row per document, derived from the coverage rows. Stated totals vs extracted totals, sum checks, page coverage.</t>
        </is>
      </c>
    </row>
    <row r="11">
      <c r="A11" s="2" t="inlineStr">
        <is>
          <t>Tracker    One row per project and vendor. Quoted vs invoiced by category, variance, discrepancy flag.</t>
        </is>
      </c>
    </row>
    <row r="12">
      <c r="A12" s="2" t="inlineStr">
        <is>
          <t>Detail     Every line that differs between a quote and its invoices: quote only, invoice only, or amount differs.</t>
        </is>
      </c>
    </row>
    <row r="13">
      <c r="A13" s="2" t="inlineStr">
        <is>
          <t>Review     Everything a human should look at. Empty means no PDF needs opening.</t>
        </is>
      </c>
    </row>
    <row r="14">
      <c r="A14" s="2" t="inlineStr">
        <is>
          <t>Notes      Where Stage 3 output is pasted. Tracker and Detail look notes up from here.</t>
        </is>
      </c>
    </row>
    <row r="15">
      <c r="A15" s="2" t="inlineStr">
        <is>
          <t>Settings   The tolerance for 'matches exactly', and the client's billing standards for Stage 3.</t>
        </is>
      </c>
    </row>
    <row r="16">
      <c r="A16" s="2" t="inlineStr"/>
    </row>
    <row r="17">
      <c r="A17" s="1" t="inlineStr">
        <is>
          <t>Adding a document</t>
        </is>
      </c>
    </row>
    <row r="18">
      <c r="A18" s="2" t="inlineStr">
        <is>
          <t>1. Open the CSV the model returned. 2. Copy its data rows (not the header). 3. Paste under the last row of Lines. 4. Fill the helper formulas (W onward) down to the new last row. Everything else updates.</t>
        </is>
      </c>
    </row>
    <row r="19">
      <c r="A19" s="2" t="inlineStr">
        <is>
          <t>Phase B: Data &gt; Get Data &gt; From Folder on csv/ loads Lines automatically; keep the helper columns beside the query table.</t>
        </is>
      </c>
    </row>
    <row r="20">
      <c r="A20" s="2" t="inlineStr"/>
    </row>
    <row r="21">
      <c r="A21" s="1" t="inlineStr">
        <is>
          <t>What the sample data shows</t>
        </is>
      </c>
    </row>
    <row r="22">
      <c r="A22" s="2" t="inlineStr">
        <is>
          <t>Vendor A: installation billed by the hour on top of the fixed price (invoice-only line), freight above quote (amount differs), contingency not drawn (quote only), one label no rule fits (UNMAPPED, in Review).</t>
        </is>
      </c>
    </row>
    <row r="23">
      <c r="A23" s="2" t="inlineStr">
        <is>
          <t>Vendor B: quote only, no invoice yet, so Tracker says pending. Scan with one unread page and a stated product total that does not match its lines: both in Review.</t>
        </is>
      </c>
    </row>
    <row r="24">
      <c r="A24" s="2" t="inlineStr"/>
    </row>
    <row r="25">
      <c r="A25" s="1" t="inlineStr">
        <is>
          <t>Compatibility note</t>
        </is>
      </c>
    </row>
    <row r="26">
      <c r="A26" s="2" t="inlineStr">
        <is>
          <t>workbook.md sketches Docs, Tracker, Detail and Review with FILTER, UNIQUE and VSTACK. This file uses the equivalent INDEX/MATCH helper-column pattern so it works in every Excel version and could be verified outside Excel. Same results, longer formulas.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90" customWidth="1" min="1" max="1"/>
    <col width="12" customWidth="1" min="2" max="2"/>
  </cols>
  <sheetData>
    <row r="1">
      <c r="A1" s="1" t="inlineStr">
        <is>
          <t>Setting</t>
        </is>
      </c>
      <c r="B1" s="1" t="inlineStr">
        <is>
          <t>Value</t>
        </is>
      </c>
    </row>
    <row r="2">
      <c r="A2" s="2" t="inlineStr">
        <is>
          <t>Tolerance (amounts within this are 'matched exactly')</t>
        </is>
      </c>
      <c r="B2" s="3" t="n">
        <v>0.01</v>
      </c>
    </row>
    <row r="4">
      <c r="A4" s="1" t="inlineStr">
        <is>
          <t>Billing standards (paste into the Stage 3 chat)</t>
        </is>
      </c>
    </row>
    <row r="5">
      <c r="A5" s="4" t="inlineStr">
        <is>
          <t>1. Labour is billed at the quoted fixed rate unless a signed change order authorises time and materials.</t>
        </is>
      </c>
    </row>
    <row r="6">
      <c r="A6" s="4" t="inlineStr">
        <is>
          <t>2. Installation cost is itemised as a distinct line from product cost.</t>
        </is>
      </c>
    </row>
    <row r="7">
      <c r="A7" s="4" t="inlineStr">
        <is>
          <t>3. Product cost is invoiced consistent with the manufacturer-confirmed quote.</t>
        </is>
      </c>
    </row>
    <row r="8">
      <c r="A8" s="4" t="inlineStr">
        <is>
          <t>4. Allowance items require documented approval before being invoiced.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500"/>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10" customWidth="1" min="3" max="3"/>
    <col width="9" customWidth="1" min="4" max="4"/>
    <col width="10" customWidth="1" min="5" max="5"/>
    <col width="11" customWidth="1" min="6" max="6"/>
    <col width="12" customWidth="1" min="7" max="7"/>
    <col width="6" customWidth="1" min="8" max="8"/>
    <col width="7" customWidth="1" min="9" max="9"/>
    <col width="26" customWidth="1" min="10" max="10"/>
    <col width="38" customWidth="1" min="11" max="11"/>
    <col width="6" customWidth="1" min="12" max="12"/>
    <col width="10" customWidth="1" min="13" max="13"/>
    <col width="12" customWidth="1" min="14" max="14"/>
    <col width="11" customWidth="1" min="15" max="15"/>
    <col width="10" customWidth="1" min="16" max="16"/>
    <col width="22" customWidth="1" min="17" max="17"/>
    <col width="10" customWidth="1" min="18" max="18"/>
    <col width="10" customWidth="1" min="19" max="19"/>
    <col width="11" customWidth="1" min="20" max="20"/>
    <col width="9" customWidth="1" min="21" max="21"/>
    <col width="40" customWidth="1" min="22" max="22"/>
    <col width="40" customWidth="1" min="23" max="23"/>
    <col width="12" customWidth="1" min="24" max="24"/>
    <col width="13" customWidth="1" min="25" max="25"/>
    <col width="11" customWidth="1" min="26" max="26"/>
    <col width="10" customWidth="1" min="27" max="27"/>
    <col width="14" customWidth="1" min="28" max="28"/>
    <col width="10" customWidth="1" min="29" max="29"/>
    <col width="14" customWidth="1" min="30" max="30"/>
    <col width="10" customWidth="1" min="31" max="31"/>
    <col width="12" customWidth="1" min="32" max="32"/>
    <col width="9" customWidth="1" min="33" max="33"/>
  </cols>
  <sheetData>
    <row r="1">
      <c r="A1" s="5" t="inlineStr">
        <is>
          <t>row_kind</t>
        </is>
      </c>
      <c r="B1" s="5" t="inlineStr">
        <is>
          <t>project</t>
        </is>
      </c>
      <c r="C1" s="5" t="inlineStr">
        <is>
          <t>vendor</t>
        </is>
      </c>
      <c r="D1" s="5" t="inlineStr">
        <is>
          <t>doc_type</t>
        </is>
      </c>
      <c r="E1" s="5" t="inlineStr">
        <is>
          <t>doc_id</t>
        </is>
      </c>
      <c r="F1" s="5" t="inlineStr">
        <is>
          <t>doc_date</t>
        </is>
      </c>
      <c r="G1" s="5" t="inlineStr">
        <is>
          <t>ref_quote_id</t>
        </is>
      </c>
      <c r="H1" s="5" t="inlineStr">
        <is>
          <t>page</t>
        </is>
      </c>
      <c r="I1" s="5" t="inlineStr">
        <is>
          <t>line_no</t>
        </is>
      </c>
      <c r="J1" s="5" t="inlineStr">
        <is>
          <t>label_as_printed</t>
        </is>
      </c>
      <c r="K1" s="5" t="inlineStr">
        <is>
          <t>description</t>
        </is>
      </c>
      <c r="L1" s="5" t="inlineStr">
        <is>
          <t>qty</t>
        </is>
      </c>
      <c r="M1" s="5" t="inlineStr">
        <is>
          <t>unit_amount</t>
        </is>
      </c>
      <c r="N1" s="5" t="inlineStr">
        <is>
          <t>amount</t>
        </is>
      </c>
      <c r="O1" s="5" t="inlineStr">
        <is>
          <t>category</t>
        </is>
      </c>
      <c r="P1" s="5" t="inlineStr">
        <is>
          <t>confidence</t>
        </is>
      </c>
      <c r="Q1" s="5" t="inlineStr">
        <is>
          <t>note</t>
        </is>
      </c>
      <c r="R1" s="5" t="inlineStr">
        <is>
          <t>pages_total</t>
        </is>
      </c>
      <c r="S1" s="5" t="inlineStr">
        <is>
          <t>pages_read</t>
        </is>
      </c>
      <c r="T1" s="5" t="inlineStr">
        <is>
          <t>native_or_scan</t>
        </is>
      </c>
      <c r="U1" s="5" t="inlineStr">
        <is>
          <t>mapping_provided</t>
        </is>
      </c>
      <c r="V1" s="5" t="inlineStr">
        <is>
          <t>source_file</t>
        </is>
      </c>
      <c r="W1" s="5" t="inlineStr">
        <is>
          <t>match_key</t>
        </is>
      </c>
      <c r="X1" s="5" t="inlineStr">
        <is>
          <t>labour_group</t>
        </is>
      </c>
      <c r="Y1" s="5" t="inlineStr">
        <is>
          <t>invoice_amount</t>
        </is>
      </c>
      <c r="Z1" s="5" t="inlineStr">
        <is>
          <t>invoice_hits</t>
        </is>
      </c>
      <c r="AA1" s="5" t="inlineStr">
        <is>
          <t>quote_hits</t>
        </is>
      </c>
      <c r="AB1" s="5" t="inlineStr">
        <is>
          <t>status</t>
        </is>
      </c>
      <c r="AC1" s="5" t="inlineStr">
        <is>
          <t>detail_seq</t>
        </is>
      </c>
      <c r="AD1" s="5" t="inlineStr">
        <is>
          <t>review_reason</t>
        </is>
      </c>
      <c r="AE1" s="5" t="inlineStr">
        <is>
          <t>review_seq</t>
        </is>
      </c>
      <c r="AF1" s="5" t="inlineStr">
        <is>
          <t>coverage_seq</t>
        </is>
      </c>
      <c r="AG1" s="5" t="inlineStr">
        <is>
          <t>pair_seq</t>
        </is>
      </c>
    </row>
    <row r="2">
      <c r="A2" s="6" t="inlineStr">
        <is>
          <t>line</t>
        </is>
      </c>
      <c r="B2" s="6" t="inlineStr">
        <is>
          <t>Project Alpha</t>
        </is>
      </c>
      <c r="C2" s="6" t="inlineStr">
        <is>
          <t>Vendor A</t>
        </is>
      </c>
      <c r="D2" s="6" t="inlineStr">
        <is>
          <t>quote</t>
        </is>
      </c>
      <c r="E2" s="6" t="inlineStr">
        <is>
          <t>Q-1001</t>
        </is>
      </c>
      <c r="F2" s="6" t="inlineStr">
        <is>
          <t>2026-05-04</t>
        </is>
      </c>
      <c r="G2" s="6" t="n"/>
      <c r="H2" s="6" t="n">
        <v>1</v>
      </c>
      <c r="I2" s="6" t="n">
        <v>1</v>
      </c>
      <c r="J2" s="6" t="inlineStr">
        <is>
          <t>Task chair TC-200</t>
        </is>
      </c>
      <c r="K2" s="6" t="inlineStr">
        <is>
          <t>Task chair, model TC-200</t>
        </is>
      </c>
      <c r="L2" s="7" t="n">
        <v>40</v>
      </c>
      <c r="M2" s="8" t="n">
        <v>350</v>
      </c>
      <c r="N2" s="8" t="n">
        <v>14000</v>
      </c>
      <c r="O2" s="6" t="inlineStr">
        <is>
          <t>PRODUCT</t>
        </is>
      </c>
      <c r="P2" s="6" t="inlineStr">
        <is>
          <t>H</t>
        </is>
      </c>
      <c r="Q2" s="6" t="n"/>
      <c r="R2" s="6" t="n"/>
      <c r="S2" s="6" t="n"/>
      <c r="T2" s="6" t="n"/>
      <c r="U2" s="6" t="n"/>
      <c r="V2" s="6" t="inlineStr">
        <is>
          <t>Project Alpha__Vendor A__quote__Q-1001.pdf</t>
        </is>
      </c>
      <c r="W2" s="2">
        <f>IF(A2="line",IF(D2="quote",E2,G2)&amp;"|"&amp;LOWER(TRIM(K2)),"")</f>
        <v/>
      </c>
      <c r="X2" s="2">
        <f>IF(OR(O2="LABOUR",O2="INSTALL"),"LABOUR_ALL",IF(O2="","",O2))</f>
        <v/>
      </c>
      <c r="Y2" s="9">
        <f>IF(AND(A2="line",D2="quote"),SUMIFS($N$2:$N$500,$W$2:$W$500,W2,$D$2:$D$500,"invoice",$A$2:$A$500,"line"),"")</f>
        <v/>
      </c>
      <c r="Z2" s="2">
        <f>IF(AND(A2="line",D2="quote"),COUNTIFS($W$2:$W$500,W2,$D$2:$D$500,"invoice",$A$2:$A$500,"line"),"")</f>
        <v/>
      </c>
      <c r="AA2" s="2">
        <f>IF(AND(A2="line",D2="invoice"),COUNTIFS($W$2:$W$500,W2,$D$2:$D$500,"quote",$A$2:$A$500,"line"),"")</f>
        <v/>
      </c>
      <c r="AB2" s="2">
        <f>IF(A2&lt;&gt;"line","",IF(D2="quote",IF(Z2=0,"quote only",IF(ABS(Y2-N2)&gt;Settings!$B$2,"amount differs","match")),IF(AA2=0,"invoice only","match")))</f>
        <v/>
      </c>
      <c r="AC2" s="2">
        <f>IF(AND(A2="line",AB2&lt;&gt;"match",COUNTIFS($A$2:$A$500,"coverage",$B$2:$B$500,B2,$C$2:$C$500,C2,$D$2:$D$500,"invoice")&gt;0),MAX($AC$1:AC1)+1,"")</f>
        <v/>
      </c>
      <c r="AD2" s="2">
        <f>IF(A2&lt;&gt;"line","",IF(O2="UNMAPPED","no mapping rule",IF(P2="L","low confidence","")))</f>
        <v/>
      </c>
      <c r="AE2" s="2">
        <f>IF(AD2&lt;&gt;"",MAX($AE$1:AE1)+1,"")</f>
        <v/>
      </c>
      <c r="AF2" s="2">
        <f>IF(A2="coverage",MAX($AF$1:AF1)+1,"")</f>
        <v/>
      </c>
      <c r="AG2" s="2">
        <f>IF(A2="line",IF(COUNTIFS($B$1:B1,B2,$C$1:C1,C2,$A$1:A1,"line")=0,MAX($AG$1:AG1)+1,""),"")</f>
        <v/>
      </c>
    </row>
    <row r="3">
      <c r="A3" s="6" t="inlineStr">
        <is>
          <t>line</t>
        </is>
      </c>
      <c r="B3" s="6" t="inlineStr">
        <is>
          <t>Project Alpha</t>
        </is>
      </c>
      <c r="C3" s="6" t="inlineStr">
        <is>
          <t>Vendor A</t>
        </is>
      </c>
      <c r="D3" s="6" t="inlineStr">
        <is>
          <t>quote</t>
        </is>
      </c>
      <c r="E3" s="6" t="inlineStr">
        <is>
          <t>Q-1001</t>
        </is>
      </c>
      <c r="F3" s="6" t="inlineStr">
        <is>
          <t>2026-05-04</t>
        </is>
      </c>
      <c r="G3" s="6" t="n"/>
      <c r="H3" s="6" t="n">
        <v>1</v>
      </c>
      <c r="I3" s="6" t="n">
        <v>2</v>
      </c>
      <c r="J3" s="6" t="inlineStr">
        <is>
          <t>Desk HA-1600</t>
        </is>
      </c>
      <c r="K3" s="6" t="inlineStr">
        <is>
          <t>Height-adjustable desk 1600</t>
        </is>
      </c>
      <c r="L3" s="7" t="n">
        <v>40</v>
      </c>
      <c r="M3" s="8" t="n">
        <v>620</v>
      </c>
      <c r="N3" s="8" t="n">
        <v>24800</v>
      </c>
      <c r="O3" s="6" t="inlineStr">
        <is>
          <t>PRODUCT</t>
        </is>
      </c>
      <c r="P3" s="6" t="inlineStr">
        <is>
          <t>H</t>
        </is>
      </c>
      <c r="Q3" s="6" t="n"/>
      <c r="R3" s="6" t="n"/>
      <c r="S3" s="6" t="n"/>
      <c r="T3" s="6" t="n"/>
      <c r="U3" s="6" t="n"/>
      <c r="V3" s="6" t="inlineStr">
        <is>
          <t>Project Alpha__Vendor A__quote__Q-1001.pdf</t>
        </is>
      </c>
      <c r="W3" s="2">
        <f>IF(A3="line",IF(D3="quote",E3,G3)&amp;"|"&amp;LOWER(TRIM(K3)),"")</f>
        <v/>
      </c>
      <c r="X3" s="2">
        <f>IF(OR(O3="LABOUR",O3="INSTALL"),"LABOUR_ALL",IF(O3="","",O3))</f>
        <v/>
      </c>
      <c r="Y3" s="9">
        <f>IF(AND(A3="line",D3="quote"),SUMIFS($N$2:$N$500,$W$2:$W$500,W3,$D$2:$D$500,"invoice",$A$2:$A$500,"line"),"")</f>
        <v/>
      </c>
      <c r="Z3" s="2">
        <f>IF(AND(A3="line",D3="quote"),COUNTIFS($W$2:$W$500,W3,$D$2:$D$500,"invoice",$A$2:$A$500,"line"),"")</f>
        <v/>
      </c>
      <c r="AA3" s="2">
        <f>IF(AND(A3="line",D3="invoice"),COUNTIFS($W$2:$W$500,W3,$D$2:$D$500,"quote",$A$2:$A$500,"line"),"")</f>
        <v/>
      </c>
      <c r="AB3" s="2">
        <f>IF(A3&lt;&gt;"line","",IF(D3="quote",IF(Z3=0,"quote only",IF(ABS(Y3-N3)&gt;Settings!$B$2,"amount differs","match")),IF(AA3=0,"invoice only","match")))</f>
        <v/>
      </c>
      <c r="AC3" s="2">
        <f>IF(AND(A3="line",AB3&lt;&gt;"match",COUNTIFS($A$2:$A$500,"coverage",$B$2:$B$500,B3,$C$2:$C$500,C3,$D$2:$D$500,"invoice")&gt;0),MAX($AC$1:AC2)+1,"")</f>
        <v/>
      </c>
      <c r="AD3" s="2">
        <f>IF(A3&lt;&gt;"line","",IF(O3="UNMAPPED","no mapping rule",IF(P3="L","low confidence","")))</f>
        <v/>
      </c>
      <c r="AE3" s="2">
        <f>IF(AD3&lt;&gt;"",MAX($AE$1:AE2)+1,"")</f>
        <v/>
      </c>
      <c r="AF3" s="2">
        <f>IF(A3="coverage",MAX($AF$1:AF2)+1,"")</f>
        <v/>
      </c>
      <c r="AG3" s="2">
        <f>IF(A3="line",IF(COUNTIFS($B$1:B2,B3,$C$1:C2,C3,$A$1:A2,"line")=0,MAX($AG$1:AG2)+1,""),"")</f>
        <v/>
      </c>
    </row>
    <row r="4">
      <c r="A4" s="6" t="inlineStr">
        <is>
          <t>line</t>
        </is>
      </c>
      <c r="B4" s="6" t="inlineStr">
        <is>
          <t>Project Alpha</t>
        </is>
      </c>
      <c r="C4" s="6" t="inlineStr">
        <is>
          <t>Vendor A</t>
        </is>
      </c>
      <c r="D4" s="6" t="inlineStr">
        <is>
          <t>quote</t>
        </is>
      </c>
      <c r="E4" s="6" t="inlineStr">
        <is>
          <t>Q-1001</t>
        </is>
      </c>
      <c r="F4" s="6" t="inlineStr">
        <is>
          <t>2026-05-04</t>
        </is>
      </c>
      <c r="G4" s="6" t="n"/>
      <c r="H4" s="6" t="n">
        <v>2</v>
      </c>
      <c r="I4" s="6" t="n">
        <v>3</v>
      </c>
      <c r="J4" s="6" t="inlineStr">
        <is>
          <t>Pedestal</t>
        </is>
      </c>
      <c r="K4" s="6" t="inlineStr">
        <is>
          <t>Storage pedestal</t>
        </is>
      </c>
      <c r="L4" s="7" t="n">
        <v>40</v>
      </c>
      <c r="M4" s="8" t="n">
        <v>180</v>
      </c>
      <c r="N4" s="8" t="n">
        <v>7200</v>
      </c>
      <c r="O4" s="6" t="inlineStr">
        <is>
          <t>PRODUCT</t>
        </is>
      </c>
      <c r="P4" s="6" t="inlineStr">
        <is>
          <t>H</t>
        </is>
      </c>
      <c r="Q4" s="6" t="n"/>
      <c r="R4" s="6" t="n"/>
      <c r="S4" s="6" t="n"/>
      <c r="T4" s="6" t="n"/>
      <c r="U4" s="6" t="n"/>
      <c r="V4" s="6" t="inlineStr">
        <is>
          <t>Project Alpha__Vendor A__quote__Q-1001.pdf</t>
        </is>
      </c>
      <c r="W4" s="2">
        <f>IF(A4="line",IF(D4="quote",E4,G4)&amp;"|"&amp;LOWER(TRIM(K4)),"")</f>
        <v/>
      </c>
      <c r="X4" s="2">
        <f>IF(OR(O4="LABOUR",O4="INSTALL"),"LABOUR_ALL",IF(O4="","",O4))</f>
        <v/>
      </c>
      <c r="Y4" s="9">
        <f>IF(AND(A4="line",D4="quote"),SUMIFS($N$2:$N$500,$W$2:$W$500,W4,$D$2:$D$500,"invoice",$A$2:$A$500,"line"),"")</f>
        <v/>
      </c>
      <c r="Z4" s="2">
        <f>IF(AND(A4="line",D4="quote"),COUNTIFS($W$2:$W$500,W4,$D$2:$D$500,"invoice",$A$2:$A$500,"line"),"")</f>
        <v/>
      </c>
      <c r="AA4" s="2">
        <f>IF(AND(A4="line",D4="invoice"),COUNTIFS($W$2:$W$500,W4,$D$2:$D$500,"quote",$A$2:$A$500,"line"),"")</f>
        <v/>
      </c>
      <c r="AB4" s="2">
        <f>IF(A4&lt;&gt;"line","",IF(D4="quote",IF(Z4=0,"quote only",IF(ABS(Y4-N4)&gt;Settings!$B$2,"amount differs","match")),IF(AA4=0,"invoice only","match")))</f>
        <v/>
      </c>
      <c r="AC4" s="2">
        <f>IF(AND(A4="line",AB4&lt;&gt;"match",COUNTIFS($A$2:$A$500,"coverage",$B$2:$B$500,B4,$C$2:$C$500,C4,$D$2:$D$500,"invoice")&gt;0),MAX($AC$1:AC3)+1,"")</f>
        <v/>
      </c>
      <c r="AD4" s="2">
        <f>IF(A4&lt;&gt;"line","",IF(O4="UNMAPPED","no mapping rule",IF(P4="L","low confidence","")))</f>
        <v/>
      </c>
      <c r="AE4" s="2">
        <f>IF(AD4&lt;&gt;"",MAX($AE$1:AE3)+1,"")</f>
        <v/>
      </c>
      <c r="AF4" s="2">
        <f>IF(A4="coverage",MAX($AF$1:AF3)+1,"")</f>
        <v/>
      </c>
      <c r="AG4" s="2">
        <f>IF(A4="line",IF(COUNTIFS($B$1:B3,B4,$C$1:C3,C4,$A$1:A3,"line")=0,MAX($AG$1:AG3)+1,""),"")</f>
        <v/>
      </c>
    </row>
    <row r="5">
      <c r="A5" s="6" t="inlineStr">
        <is>
          <t>line</t>
        </is>
      </c>
      <c r="B5" s="6" t="inlineStr">
        <is>
          <t>Project Alpha</t>
        </is>
      </c>
      <c r="C5" s="6" t="inlineStr">
        <is>
          <t>Vendor A</t>
        </is>
      </c>
      <c r="D5" s="6" t="inlineStr">
        <is>
          <t>quote</t>
        </is>
      </c>
      <c r="E5" s="6" t="inlineStr">
        <is>
          <t>Q-1001</t>
        </is>
      </c>
      <c r="F5" s="6" t="inlineStr">
        <is>
          <t>2026-05-04</t>
        </is>
      </c>
      <c r="G5" s="6" t="n"/>
      <c r="H5" s="6" t="n">
        <v>2</v>
      </c>
      <c r="I5" s="6" t="n">
        <v>4</v>
      </c>
      <c r="J5" s="6" t="inlineStr">
        <is>
          <t>Installation</t>
        </is>
      </c>
      <c r="K5" s="6" t="inlineStr">
        <is>
          <t>Installation, 40 workstations, fixed price</t>
        </is>
      </c>
      <c r="L5" s="6" t="n"/>
      <c r="M5" s="6" t="n"/>
      <c r="N5" s="8" t="n">
        <v>9600</v>
      </c>
      <c r="O5" s="6" t="inlineStr">
        <is>
          <t>INSTALL</t>
        </is>
      </c>
      <c r="P5" s="6" t="inlineStr">
        <is>
          <t>H</t>
        </is>
      </c>
      <c r="Q5" s="6" t="n"/>
      <c r="R5" s="6" t="n"/>
      <c r="S5" s="6" t="n"/>
      <c r="T5" s="6" t="n"/>
      <c r="U5" s="6" t="n"/>
      <c r="V5" s="6" t="inlineStr">
        <is>
          <t>Project Alpha__Vendor A__quote__Q-1001.pdf</t>
        </is>
      </c>
      <c r="W5" s="2">
        <f>IF(A5="line",IF(D5="quote",E5,G5)&amp;"|"&amp;LOWER(TRIM(K5)),"")</f>
        <v/>
      </c>
      <c r="X5" s="2">
        <f>IF(OR(O5="LABOUR",O5="INSTALL"),"LABOUR_ALL",IF(O5="","",O5))</f>
        <v/>
      </c>
      <c r="Y5" s="9">
        <f>IF(AND(A5="line",D5="quote"),SUMIFS($N$2:$N$500,$W$2:$W$500,W5,$D$2:$D$500,"invoice",$A$2:$A$500,"line"),"")</f>
        <v/>
      </c>
      <c r="Z5" s="2">
        <f>IF(AND(A5="line",D5="quote"),COUNTIFS($W$2:$W$500,W5,$D$2:$D$500,"invoice",$A$2:$A$500,"line"),"")</f>
        <v/>
      </c>
      <c r="AA5" s="2">
        <f>IF(AND(A5="line",D5="invoice"),COUNTIFS($W$2:$W$500,W5,$D$2:$D$500,"quote",$A$2:$A$500,"line"),"")</f>
        <v/>
      </c>
      <c r="AB5" s="2">
        <f>IF(A5&lt;&gt;"line","",IF(D5="quote",IF(Z5=0,"quote only",IF(ABS(Y5-N5)&gt;Settings!$B$2,"amount differs","match")),IF(AA5=0,"invoice only","match")))</f>
        <v/>
      </c>
      <c r="AC5" s="2">
        <f>IF(AND(A5="line",AB5&lt;&gt;"match",COUNTIFS($A$2:$A$500,"coverage",$B$2:$B$500,B5,$C$2:$C$500,C5,$D$2:$D$500,"invoice")&gt;0),MAX($AC$1:AC4)+1,"")</f>
        <v/>
      </c>
      <c r="AD5" s="2">
        <f>IF(A5&lt;&gt;"line","",IF(O5="UNMAPPED","no mapping rule",IF(P5="L","low confidence","")))</f>
        <v/>
      </c>
      <c r="AE5" s="2">
        <f>IF(AD5&lt;&gt;"",MAX($AE$1:AE4)+1,"")</f>
        <v/>
      </c>
      <c r="AF5" s="2">
        <f>IF(A5="coverage",MAX($AF$1:AF4)+1,"")</f>
        <v/>
      </c>
      <c r="AG5" s="2">
        <f>IF(A5="line",IF(COUNTIFS($B$1:B4,B5,$C$1:C4,C5,$A$1:A4,"line")=0,MAX($AG$1:AG4)+1,""),"")</f>
        <v/>
      </c>
    </row>
    <row r="6">
      <c r="A6" s="6" t="inlineStr">
        <is>
          <t>line</t>
        </is>
      </c>
      <c r="B6" s="6" t="inlineStr">
        <is>
          <t>Project Alpha</t>
        </is>
      </c>
      <c r="C6" s="6" t="inlineStr">
        <is>
          <t>Vendor A</t>
        </is>
      </c>
      <c r="D6" s="6" t="inlineStr">
        <is>
          <t>quote</t>
        </is>
      </c>
      <c r="E6" s="6" t="inlineStr">
        <is>
          <t>Q-1001</t>
        </is>
      </c>
      <c r="F6" s="6" t="inlineStr">
        <is>
          <t>2026-05-04</t>
        </is>
      </c>
      <c r="G6" s="6" t="n"/>
      <c r="H6" s="6" t="n">
        <v>2</v>
      </c>
      <c r="I6" s="6" t="n">
        <v>5</v>
      </c>
      <c r="J6" s="6" t="inlineStr">
        <is>
          <t>Project management</t>
        </is>
      </c>
      <c r="K6" s="6" t="inlineStr">
        <is>
          <t>Project management fee</t>
        </is>
      </c>
      <c r="L6" s="6" t="n"/>
      <c r="M6" s="6" t="n"/>
      <c r="N6" s="8" t="n">
        <v>2400</v>
      </c>
      <c r="O6" s="6" t="inlineStr">
        <is>
          <t>LABOUR</t>
        </is>
      </c>
      <c r="P6" s="6" t="inlineStr">
        <is>
          <t>H</t>
        </is>
      </c>
      <c r="Q6" s="6" t="n"/>
      <c r="R6" s="6" t="n"/>
      <c r="S6" s="6" t="n"/>
      <c r="T6" s="6" t="n"/>
      <c r="U6" s="6" t="n"/>
      <c r="V6" s="6" t="inlineStr">
        <is>
          <t>Project Alpha__Vendor A__quote__Q-1001.pdf</t>
        </is>
      </c>
      <c r="W6" s="2">
        <f>IF(A6="line",IF(D6="quote",E6,G6)&amp;"|"&amp;LOWER(TRIM(K6)),"")</f>
        <v/>
      </c>
      <c r="X6" s="2">
        <f>IF(OR(O6="LABOUR",O6="INSTALL"),"LABOUR_ALL",IF(O6="","",O6))</f>
        <v/>
      </c>
      <c r="Y6" s="9">
        <f>IF(AND(A6="line",D6="quote"),SUMIFS($N$2:$N$500,$W$2:$W$500,W6,$D$2:$D$500,"invoice",$A$2:$A$500,"line"),"")</f>
        <v/>
      </c>
      <c r="Z6" s="2">
        <f>IF(AND(A6="line",D6="quote"),COUNTIFS($W$2:$W$500,W6,$D$2:$D$500,"invoice",$A$2:$A$500,"line"),"")</f>
        <v/>
      </c>
      <c r="AA6" s="2">
        <f>IF(AND(A6="line",D6="invoice"),COUNTIFS($W$2:$W$500,W6,$D$2:$D$500,"quote",$A$2:$A$500,"line"),"")</f>
        <v/>
      </c>
      <c r="AB6" s="2">
        <f>IF(A6&lt;&gt;"line","",IF(D6="quote",IF(Z6=0,"quote only",IF(ABS(Y6-N6)&gt;Settings!$B$2,"amount differs","match")),IF(AA6=0,"invoice only","match")))</f>
        <v/>
      </c>
      <c r="AC6" s="2">
        <f>IF(AND(A6="line",AB6&lt;&gt;"match",COUNTIFS($A$2:$A$500,"coverage",$B$2:$B$500,B6,$C$2:$C$500,C6,$D$2:$D$500,"invoice")&gt;0),MAX($AC$1:AC5)+1,"")</f>
        <v/>
      </c>
      <c r="AD6" s="2">
        <f>IF(A6&lt;&gt;"line","",IF(O6="UNMAPPED","no mapping rule",IF(P6="L","low confidence","")))</f>
        <v/>
      </c>
      <c r="AE6" s="2">
        <f>IF(AD6&lt;&gt;"",MAX($AE$1:AE5)+1,"")</f>
        <v/>
      </c>
      <c r="AF6" s="2">
        <f>IF(A6="coverage",MAX($AF$1:AF5)+1,"")</f>
        <v/>
      </c>
      <c r="AG6" s="2">
        <f>IF(A6="line",IF(COUNTIFS($B$1:B5,B6,$C$1:C5,C6,$A$1:A5,"line")=0,MAX($AG$1:AG5)+1,""),"")</f>
        <v/>
      </c>
    </row>
    <row r="7">
      <c r="A7" s="6" t="inlineStr">
        <is>
          <t>line</t>
        </is>
      </c>
      <c r="B7" s="6" t="inlineStr">
        <is>
          <t>Project Alpha</t>
        </is>
      </c>
      <c r="C7" s="6" t="inlineStr">
        <is>
          <t>Vendor A</t>
        </is>
      </c>
      <c r="D7" s="6" t="inlineStr">
        <is>
          <t>quote</t>
        </is>
      </c>
      <c r="E7" s="6" t="inlineStr">
        <is>
          <t>Q-1001</t>
        </is>
      </c>
      <c r="F7" s="6" t="inlineStr">
        <is>
          <t>2026-05-04</t>
        </is>
      </c>
      <c r="G7" s="6" t="n"/>
      <c r="H7" s="6" t="n">
        <v>2</v>
      </c>
      <c r="I7" s="6" t="n">
        <v>6</v>
      </c>
      <c r="J7" s="6" t="inlineStr">
        <is>
          <t>Freight</t>
        </is>
      </c>
      <c r="K7" s="6" t="inlineStr">
        <is>
          <t>Freight to site</t>
        </is>
      </c>
      <c r="L7" s="6" t="n"/>
      <c r="M7" s="6" t="n"/>
      <c r="N7" s="8" t="n">
        <v>1800</v>
      </c>
      <c r="O7" s="6" t="inlineStr">
        <is>
          <t>LABOUR</t>
        </is>
      </c>
      <c r="P7" s="6" t="inlineStr">
        <is>
          <t>H</t>
        </is>
      </c>
      <c r="Q7" s="6" t="n"/>
      <c r="R7" s="6" t="n"/>
      <c r="S7" s="6" t="n"/>
      <c r="T7" s="6" t="n"/>
      <c r="U7" s="6" t="n"/>
      <c r="V7" s="6" t="inlineStr">
        <is>
          <t>Project Alpha__Vendor A__quote__Q-1001.pdf</t>
        </is>
      </c>
      <c r="W7" s="2">
        <f>IF(A7="line",IF(D7="quote",E7,G7)&amp;"|"&amp;LOWER(TRIM(K7)),"")</f>
        <v/>
      </c>
      <c r="X7" s="2">
        <f>IF(OR(O7="LABOUR",O7="INSTALL"),"LABOUR_ALL",IF(O7="","",O7))</f>
        <v/>
      </c>
      <c r="Y7" s="9">
        <f>IF(AND(A7="line",D7="quote"),SUMIFS($N$2:$N$500,$W$2:$W$500,W7,$D$2:$D$500,"invoice",$A$2:$A$500,"line"),"")</f>
        <v/>
      </c>
      <c r="Z7" s="2">
        <f>IF(AND(A7="line",D7="quote"),COUNTIFS($W$2:$W$500,W7,$D$2:$D$500,"invoice",$A$2:$A$500,"line"),"")</f>
        <v/>
      </c>
      <c r="AA7" s="2">
        <f>IF(AND(A7="line",D7="invoice"),COUNTIFS($W$2:$W$500,W7,$D$2:$D$500,"quote",$A$2:$A$500,"line"),"")</f>
        <v/>
      </c>
      <c r="AB7" s="2">
        <f>IF(A7&lt;&gt;"line","",IF(D7="quote",IF(Z7=0,"quote only",IF(ABS(Y7-N7)&gt;Settings!$B$2,"amount differs","match")),IF(AA7=0,"invoice only","match")))</f>
        <v/>
      </c>
      <c r="AC7" s="2">
        <f>IF(AND(A7="line",AB7&lt;&gt;"match",COUNTIFS($A$2:$A$500,"coverage",$B$2:$B$500,B7,$C$2:$C$500,C7,$D$2:$D$500,"invoice")&gt;0),MAX($AC$1:AC6)+1,"")</f>
        <v/>
      </c>
      <c r="AD7" s="2">
        <f>IF(A7&lt;&gt;"line","",IF(O7="UNMAPPED","no mapping rule",IF(P7="L","low confidence","")))</f>
        <v/>
      </c>
      <c r="AE7" s="2">
        <f>IF(AD7&lt;&gt;"",MAX($AE$1:AE6)+1,"")</f>
        <v/>
      </c>
      <c r="AF7" s="2">
        <f>IF(A7="coverage",MAX($AF$1:AF6)+1,"")</f>
        <v/>
      </c>
      <c r="AG7" s="2">
        <f>IF(A7="line",IF(COUNTIFS($B$1:B6,B7,$C$1:C6,C7,$A$1:A6,"line")=0,MAX($AG$1:AG6)+1,""),"")</f>
        <v/>
      </c>
    </row>
    <row r="8">
      <c r="A8" s="6" t="inlineStr">
        <is>
          <t>line</t>
        </is>
      </c>
      <c r="B8" s="6" t="inlineStr">
        <is>
          <t>Project Alpha</t>
        </is>
      </c>
      <c r="C8" s="6" t="inlineStr">
        <is>
          <t>Vendor A</t>
        </is>
      </c>
      <c r="D8" s="6" t="inlineStr">
        <is>
          <t>quote</t>
        </is>
      </c>
      <c r="E8" s="6" t="inlineStr">
        <is>
          <t>Q-1001</t>
        </is>
      </c>
      <c r="F8" s="6" t="inlineStr">
        <is>
          <t>2026-05-04</t>
        </is>
      </c>
      <c r="G8" s="6" t="n"/>
      <c r="H8" s="6" t="n">
        <v>3</v>
      </c>
      <c r="I8" s="6" t="n">
        <v>7</v>
      </c>
      <c r="J8" s="6" t="inlineStr">
        <is>
          <t>Contingency</t>
        </is>
      </c>
      <c r="K8" s="6" t="inlineStr">
        <is>
          <t>Contingency allowance</t>
        </is>
      </c>
      <c r="L8" s="6" t="n"/>
      <c r="M8" s="6" t="n"/>
      <c r="N8" s="8" t="n">
        <v>2000</v>
      </c>
      <c r="O8" s="6" t="inlineStr">
        <is>
          <t>ALLOWANCE</t>
        </is>
      </c>
      <c r="P8" s="6" t="inlineStr">
        <is>
          <t>H</t>
        </is>
      </c>
      <c r="Q8" s="6" t="n"/>
      <c r="R8" s="6" t="n"/>
      <c r="S8" s="6" t="n"/>
      <c r="T8" s="6" t="n"/>
      <c r="U8" s="6" t="n"/>
      <c r="V8" s="6" t="inlineStr">
        <is>
          <t>Project Alpha__Vendor A__quote__Q-1001.pdf</t>
        </is>
      </c>
      <c r="W8" s="2">
        <f>IF(A8="line",IF(D8="quote",E8,G8)&amp;"|"&amp;LOWER(TRIM(K8)),"")</f>
        <v/>
      </c>
      <c r="X8" s="2">
        <f>IF(OR(O8="LABOUR",O8="INSTALL"),"LABOUR_ALL",IF(O8="","",O8))</f>
        <v/>
      </c>
      <c r="Y8" s="9">
        <f>IF(AND(A8="line",D8="quote"),SUMIFS($N$2:$N$500,$W$2:$W$500,W8,$D$2:$D$500,"invoice",$A$2:$A$500,"line"),"")</f>
        <v/>
      </c>
      <c r="Z8" s="2">
        <f>IF(AND(A8="line",D8="quote"),COUNTIFS($W$2:$W$500,W8,$D$2:$D$500,"invoice",$A$2:$A$500,"line"),"")</f>
        <v/>
      </c>
      <c r="AA8" s="2">
        <f>IF(AND(A8="line",D8="invoice"),COUNTIFS($W$2:$W$500,W8,$D$2:$D$500,"quote",$A$2:$A$500,"line"),"")</f>
        <v/>
      </c>
      <c r="AB8" s="2">
        <f>IF(A8&lt;&gt;"line","",IF(D8="quote",IF(Z8=0,"quote only",IF(ABS(Y8-N8)&gt;Settings!$B$2,"amount differs","match")),IF(AA8=0,"invoice only","match")))</f>
        <v/>
      </c>
      <c r="AC8" s="2">
        <f>IF(AND(A8="line",AB8&lt;&gt;"match",COUNTIFS($A$2:$A$500,"coverage",$B$2:$B$500,B8,$C$2:$C$500,C8,$D$2:$D$500,"invoice")&gt;0),MAX($AC$1:AC7)+1,"")</f>
        <v/>
      </c>
      <c r="AD8" s="2">
        <f>IF(A8&lt;&gt;"line","",IF(O8="UNMAPPED","no mapping rule",IF(P8="L","low confidence","")))</f>
        <v/>
      </c>
      <c r="AE8" s="2">
        <f>IF(AD8&lt;&gt;"",MAX($AE$1:AE7)+1,"")</f>
        <v/>
      </c>
      <c r="AF8" s="2">
        <f>IF(A8="coverage",MAX($AF$1:AF7)+1,"")</f>
        <v/>
      </c>
      <c r="AG8" s="2">
        <f>IF(A8="line",IF(COUNTIFS($B$1:B7,B8,$C$1:C7,C8,$A$1:A7,"line")=0,MAX($AG$1:AG7)+1,""),"")</f>
        <v/>
      </c>
    </row>
    <row r="9">
      <c r="A9" s="6" t="inlineStr">
        <is>
          <t>line</t>
        </is>
      </c>
      <c r="B9" s="6" t="inlineStr">
        <is>
          <t>Project Alpha</t>
        </is>
      </c>
      <c r="C9" s="6" t="inlineStr">
        <is>
          <t>Vendor A</t>
        </is>
      </c>
      <c r="D9" s="6" t="inlineStr">
        <is>
          <t>quote</t>
        </is>
      </c>
      <c r="E9" s="6" t="inlineStr">
        <is>
          <t>Q-1001</t>
        </is>
      </c>
      <c r="F9" s="6" t="inlineStr">
        <is>
          <t>2026-05-04</t>
        </is>
      </c>
      <c r="G9" s="6" t="n"/>
      <c r="H9" s="6" t="n">
        <v>3</v>
      </c>
      <c r="I9" s="6" t="n">
        <v>8</v>
      </c>
      <c r="J9" s="6" t="inlineStr">
        <is>
          <t>Sales tax</t>
        </is>
      </c>
      <c r="K9" s="6" t="inlineStr">
        <is>
          <t>Sales tax 8%</t>
        </is>
      </c>
      <c r="L9" s="6" t="n"/>
      <c r="M9" s="6" t="n"/>
      <c r="N9" s="8" t="n">
        <v>3680</v>
      </c>
      <c r="O9" s="6" t="inlineStr">
        <is>
          <t>EXCLUDED</t>
        </is>
      </c>
      <c r="P9" s="6" t="inlineStr">
        <is>
          <t>H</t>
        </is>
      </c>
      <c r="Q9" s="6" t="n"/>
      <c r="R9" s="6" t="n"/>
      <c r="S9" s="6" t="n"/>
      <c r="T9" s="6" t="n"/>
      <c r="U9" s="6" t="n"/>
      <c r="V9" s="6" t="inlineStr">
        <is>
          <t>Project Alpha__Vendor A__quote__Q-1001.pdf</t>
        </is>
      </c>
      <c r="W9" s="2">
        <f>IF(A9="line",IF(D9="quote",E9,G9)&amp;"|"&amp;LOWER(TRIM(K9)),"")</f>
        <v/>
      </c>
      <c r="X9" s="2">
        <f>IF(OR(O9="LABOUR",O9="INSTALL"),"LABOUR_ALL",IF(O9="","",O9))</f>
        <v/>
      </c>
      <c r="Y9" s="9">
        <f>IF(AND(A9="line",D9="quote"),SUMIFS($N$2:$N$500,$W$2:$W$500,W9,$D$2:$D$500,"invoice",$A$2:$A$500,"line"),"")</f>
        <v/>
      </c>
      <c r="Z9" s="2">
        <f>IF(AND(A9="line",D9="quote"),COUNTIFS($W$2:$W$500,W9,$D$2:$D$500,"invoice",$A$2:$A$500,"line"),"")</f>
        <v/>
      </c>
      <c r="AA9" s="2">
        <f>IF(AND(A9="line",D9="invoice"),COUNTIFS($W$2:$W$500,W9,$D$2:$D$500,"quote",$A$2:$A$500,"line"),"")</f>
        <v/>
      </c>
      <c r="AB9" s="2">
        <f>IF(A9&lt;&gt;"line","",IF(D9="quote",IF(Z9=0,"quote only",IF(ABS(Y9-N9)&gt;Settings!$B$2,"amount differs","match")),IF(AA9=0,"invoice only","match")))</f>
        <v/>
      </c>
      <c r="AC9" s="2">
        <f>IF(AND(A9="line",AB9&lt;&gt;"match",COUNTIFS($A$2:$A$500,"coverage",$B$2:$B$500,B9,$C$2:$C$500,C9,$D$2:$D$500,"invoice")&gt;0),MAX($AC$1:AC8)+1,"")</f>
        <v/>
      </c>
      <c r="AD9" s="2">
        <f>IF(A9&lt;&gt;"line","",IF(O9="UNMAPPED","no mapping rule",IF(P9="L","low confidence","")))</f>
        <v/>
      </c>
      <c r="AE9" s="2">
        <f>IF(AD9&lt;&gt;"",MAX($AE$1:AE8)+1,"")</f>
        <v/>
      </c>
      <c r="AF9" s="2">
        <f>IF(A9="coverage",MAX($AF$1:AF8)+1,"")</f>
        <v/>
      </c>
      <c r="AG9" s="2">
        <f>IF(A9="line",IF(COUNTIFS($B$1:B8,B9,$C$1:C8,C9,$A$1:A8,"line")=0,MAX($AG$1:AG8)+1,""),"")</f>
        <v/>
      </c>
    </row>
    <row r="10">
      <c r="A10" s="6" t="inlineStr">
        <is>
          <t>total</t>
        </is>
      </c>
      <c r="B10" s="6" t="inlineStr">
        <is>
          <t>Project Alpha</t>
        </is>
      </c>
      <c r="C10" s="6" t="inlineStr">
        <is>
          <t>Vendor A</t>
        </is>
      </c>
      <c r="D10" s="6" t="inlineStr">
        <is>
          <t>quote</t>
        </is>
      </c>
      <c r="E10" s="6" t="inlineStr">
        <is>
          <t>Q-1001</t>
        </is>
      </c>
      <c r="F10" s="6" t="inlineStr">
        <is>
          <t>2026-05-04</t>
        </is>
      </c>
      <c r="G10" s="6" t="n"/>
      <c r="H10" s="6" t="n">
        <v>3</v>
      </c>
      <c r="I10" s="6" t="n"/>
      <c r="J10" s="6" t="inlineStr">
        <is>
          <t>Product subtotal</t>
        </is>
      </c>
      <c r="K10" s="6" t="n"/>
      <c r="L10" s="6" t="n"/>
      <c r="M10" s="6" t="n"/>
      <c r="N10" s="8" t="n">
        <v>46000</v>
      </c>
      <c r="O10" s="6" t="inlineStr">
        <is>
          <t>PRODUCT</t>
        </is>
      </c>
      <c r="P10" s="6" t="inlineStr">
        <is>
          <t>H</t>
        </is>
      </c>
      <c r="Q10" s="6" t="n"/>
      <c r="R10" s="6" t="n"/>
      <c r="S10" s="6" t="n"/>
      <c r="T10" s="6" t="n"/>
      <c r="U10" s="6" t="n"/>
      <c r="V10" s="6" t="inlineStr">
        <is>
          <t>Project Alpha__Vendor A__quote__Q-1001.pdf</t>
        </is>
      </c>
      <c r="W10" s="2">
        <f>IF(A10="line",IF(D10="quote",E10,G10)&amp;"|"&amp;LOWER(TRIM(K10)),"")</f>
        <v/>
      </c>
      <c r="X10" s="2">
        <f>IF(OR(O10="LABOUR",O10="INSTALL"),"LABOUR_ALL",IF(O10="","",O10))</f>
        <v/>
      </c>
      <c r="Y10" s="9">
        <f>IF(AND(A10="line",D10="quote"),SUMIFS($N$2:$N$500,$W$2:$W$500,W10,$D$2:$D$500,"invoice",$A$2:$A$500,"line"),"")</f>
        <v/>
      </c>
      <c r="Z10" s="2">
        <f>IF(AND(A10="line",D10="quote"),COUNTIFS($W$2:$W$500,W10,$D$2:$D$500,"invoice",$A$2:$A$500,"line"),"")</f>
        <v/>
      </c>
      <c r="AA10" s="2">
        <f>IF(AND(A10="line",D10="invoice"),COUNTIFS($W$2:$W$500,W10,$D$2:$D$500,"quote",$A$2:$A$500,"line"),"")</f>
        <v/>
      </c>
      <c r="AB10" s="2">
        <f>IF(A10&lt;&gt;"line","",IF(D10="quote",IF(Z10=0,"quote only",IF(ABS(Y10-N10)&gt;Settings!$B$2,"amount differs","match")),IF(AA10=0,"invoice only","match")))</f>
        <v/>
      </c>
      <c r="AC10" s="2">
        <f>IF(AND(A10="line",AB10&lt;&gt;"match",COUNTIFS($A$2:$A$500,"coverage",$B$2:$B$500,B10,$C$2:$C$500,C10,$D$2:$D$500,"invoice")&gt;0),MAX($AC$1:AC9)+1,"")</f>
        <v/>
      </c>
      <c r="AD10" s="2">
        <f>IF(A10&lt;&gt;"line","",IF(O10="UNMAPPED","no mapping rule",IF(P10="L","low confidence","")))</f>
        <v/>
      </c>
      <c r="AE10" s="2">
        <f>IF(AD10&lt;&gt;"",MAX($AE$1:AE9)+1,"")</f>
        <v/>
      </c>
      <c r="AF10" s="2">
        <f>IF(A10="coverage",MAX($AF$1:AF9)+1,"")</f>
        <v/>
      </c>
      <c r="AG10" s="2">
        <f>IF(A10="line",IF(COUNTIFS($B$1:B9,B10,$C$1:C9,C10,$A$1:A9,"line")=0,MAX($AG$1:AG9)+1,""),"")</f>
        <v/>
      </c>
    </row>
    <row r="11">
      <c r="A11" s="6" t="inlineStr">
        <is>
          <t>total</t>
        </is>
      </c>
      <c r="B11" s="6" t="inlineStr">
        <is>
          <t>Project Alpha</t>
        </is>
      </c>
      <c r="C11" s="6" t="inlineStr">
        <is>
          <t>Vendor A</t>
        </is>
      </c>
      <c r="D11" s="6" t="inlineStr">
        <is>
          <t>quote</t>
        </is>
      </c>
      <c r="E11" s="6" t="inlineStr">
        <is>
          <t>Q-1001</t>
        </is>
      </c>
      <c r="F11" s="6" t="inlineStr">
        <is>
          <t>2026-05-04</t>
        </is>
      </c>
      <c r="G11" s="6" t="n"/>
      <c r="H11" s="6" t="n">
        <v>3</v>
      </c>
      <c r="I11" s="6" t="n"/>
      <c r="J11" s="6" t="inlineStr">
        <is>
          <t>Installation</t>
        </is>
      </c>
      <c r="K11" s="6" t="n"/>
      <c r="L11" s="6" t="n"/>
      <c r="M11" s="6" t="n"/>
      <c r="N11" s="8" t="n">
        <v>9600</v>
      </c>
      <c r="O11" s="6" t="inlineStr">
        <is>
          <t>INSTALL</t>
        </is>
      </c>
      <c r="P11" s="6" t="inlineStr">
        <is>
          <t>H</t>
        </is>
      </c>
      <c r="Q11" s="6" t="n"/>
      <c r="R11" s="6" t="n"/>
      <c r="S11" s="6" t="n"/>
      <c r="T11" s="6" t="n"/>
      <c r="U11" s="6" t="n"/>
      <c r="V11" s="6" t="inlineStr">
        <is>
          <t>Project Alpha__Vendor A__quote__Q-1001.pdf</t>
        </is>
      </c>
      <c r="W11" s="2">
        <f>IF(A11="line",IF(D11="quote",E11,G11)&amp;"|"&amp;LOWER(TRIM(K11)),"")</f>
        <v/>
      </c>
      <c r="X11" s="2">
        <f>IF(OR(O11="LABOUR",O11="INSTALL"),"LABOUR_ALL",IF(O11="","",O11))</f>
        <v/>
      </c>
      <c r="Y11" s="9">
        <f>IF(AND(A11="line",D11="quote"),SUMIFS($N$2:$N$500,$W$2:$W$500,W11,$D$2:$D$500,"invoice",$A$2:$A$500,"line"),"")</f>
        <v/>
      </c>
      <c r="Z11" s="2">
        <f>IF(AND(A11="line",D11="quote"),COUNTIFS($W$2:$W$500,W11,$D$2:$D$500,"invoice",$A$2:$A$500,"line"),"")</f>
        <v/>
      </c>
      <c r="AA11" s="2">
        <f>IF(AND(A11="line",D11="invoice"),COUNTIFS($W$2:$W$500,W11,$D$2:$D$500,"quote",$A$2:$A$500,"line"),"")</f>
        <v/>
      </c>
      <c r="AB11" s="2">
        <f>IF(A11&lt;&gt;"line","",IF(D11="quote",IF(Z11=0,"quote only",IF(ABS(Y11-N11)&gt;Settings!$B$2,"amount differs","match")),IF(AA11=0,"invoice only","match")))</f>
        <v/>
      </c>
      <c r="AC11" s="2">
        <f>IF(AND(A11="line",AB11&lt;&gt;"match",COUNTIFS($A$2:$A$500,"coverage",$B$2:$B$500,B11,$C$2:$C$500,C11,$D$2:$D$500,"invoice")&gt;0),MAX($AC$1:AC10)+1,"")</f>
        <v/>
      </c>
      <c r="AD11" s="2">
        <f>IF(A11&lt;&gt;"line","",IF(O11="UNMAPPED","no mapping rule",IF(P11="L","low confidence","")))</f>
        <v/>
      </c>
      <c r="AE11" s="2">
        <f>IF(AD11&lt;&gt;"",MAX($AE$1:AE10)+1,"")</f>
        <v/>
      </c>
      <c r="AF11" s="2">
        <f>IF(A11="coverage",MAX($AF$1:AF10)+1,"")</f>
        <v/>
      </c>
      <c r="AG11" s="2">
        <f>IF(A11="line",IF(COUNTIFS($B$1:B10,B11,$C$1:C10,C11,$A$1:A10,"line")=0,MAX($AG$1:AG10)+1,""),"")</f>
        <v/>
      </c>
    </row>
    <row r="12">
      <c r="A12" s="6" t="inlineStr">
        <is>
          <t>total</t>
        </is>
      </c>
      <c r="B12" s="6" t="inlineStr">
        <is>
          <t>Project Alpha</t>
        </is>
      </c>
      <c r="C12" s="6" t="inlineStr">
        <is>
          <t>Vendor A</t>
        </is>
      </c>
      <c r="D12" s="6" t="inlineStr">
        <is>
          <t>quote</t>
        </is>
      </c>
      <c r="E12" s="6" t="inlineStr">
        <is>
          <t>Q-1001</t>
        </is>
      </c>
      <c r="F12" s="6" t="inlineStr">
        <is>
          <t>2026-05-04</t>
        </is>
      </c>
      <c r="G12" s="6" t="n"/>
      <c r="H12" s="6" t="n">
        <v>3</v>
      </c>
      <c r="I12" s="6" t="n"/>
      <c r="J12" s="6" t="inlineStr">
        <is>
          <t>Services subtotal</t>
        </is>
      </c>
      <c r="K12" s="6" t="n"/>
      <c r="L12" s="6" t="n"/>
      <c r="M12" s="6" t="n"/>
      <c r="N12" s="8" t="n">
        <v>4200</v>
      </c>
      <c r="O12" s="6" t="inlineStr">
        <is>
          <t>LABOUR</t>
        </is>
      </c>
      <c r="P12" s="6" t="inlineStr">
        <is>
          <t>H</t>
        </is>
      </c>
      <c r="Q12" s="6" t="n"/>
      <c r="R12" s="6" t="n"/>
      <c r="S12" s="6" t="n"/>
      <c r="T12" s="6" t="n"/>
      <c r="U12" s="6" t="n"/>
      <c r="V12" s="6" t="inlineStr">
        <is>
          <t>Project Alpha__Vendor A__quote__Q-1001.pdf</t>
        </is>
      </c>
      <c r="W12" s="2">
        <f>IF(A12="line",IF(D12="quote",E12,G12)&amp;"|"&amp;LOWER(TRIM(K12)),"")</f>
        <v/>
      </c>
      <c r="X12" s="2">
        <f>IF(OR(O12="LABOUR",O12="INSTALL"),"LABOUR_ALL",IF(O12="","",O12))</f>
        <v/>
      </c>
      <c r="Y12" s="9">
        <f>IF(AND(A12="line",D12="quote"),SUMIFS($N$2:$N$500,$W$2:$W$500,W12,$D$2:$D$500,"invoice",$A$2:$A$500,"line"),"")</f>
        <v/>
      </c>
      <c r="Z12" s="2">
        <f>IF(AND(A12="line",D12="quote"),COUNTIFS($W$2:$W$500,W12,$D$2:$D$500,"invoice",$A$2:$A$500,"line"),"")</f>
        <v/>
      </c>
      <c r="AA12" s="2">
        <f>IF(AND(A12="line",D12="invoice"),COUNTIFS($W$2:$W$500,W12,$D$2:$D$500,"quote",$A$2:$A$500,"line"),"")</f>
        <v/>
      </c>
      <c r="AB12" s="2">
        <f>IF(A12&lt;&gt;"line","",IF(D12="quote",IF(Z12=0,"quote only",IF(ABS(Y12-N12)&gt;Settings!$B$2,"amount differs","match")),IF(AA12=0,"invoice only","match")))</f>
        <v/>
      </c>
      <c r="AC12" s="2">
        <f>IF(AND(A12="line",AB12&lt;&gt;"match",COUNTIFS($A$2:$A$500,"coverage",$B$2:$B$500,B12,$C$2:$C$500,C12,$D$2:$D$500,"invoice")&gt;0),MAX($AC$1:AC11)+1,"")</f>
        <v/>
      </c>
      <c r="AD12" s="2">
        <f>IF(A12&lt;&gt;"line","",IF(O12="UNMAPPED","no mapping rule",IF(P12="L","low confidence","")))</f>
        <v/>
      </c>
      <c r="AE12" s="2">
        <f>IF(AD12&lt;&gt;"",MAX($AE$1:AE11)+1,"")</f>
        <v/>
      </c>
      <c r="AF12" s="2">
        <f>IF(A12="coverage",MAX($AF$1:AF11)+1,"")</f>
        <v/>
      </c>
      <c r="AG12" s="2">
        <f>IF(A12="line",IF(COUNTIFS($B$1:B11,B12,$C$1:C11,C12,$A$1:A11,"line")=0,MAX($AG$1:AG11)+1,""),"")</f>
        <v/>
      </c>
    </row>
    <row r="13">
      <c r="A13" s="6" t="inlineStr">
        <is>
          <t>total</t>
        </is>
      </c>
      <c r="B13" s="6" t="inlineStr">
        <is>
          <t>Project Alpha</t>
        </is>
      </c>
      <c r="C13" s="6" t="inlineStr">
        <is>
          <t>Vendor A</t>
        </is>
      </c>
      <c r="D13" s="6" t="inlineStr">
        <is>
          <t>quote</t>
        </is>
      </c>
      <c r="E13" s="6" t="inlineStr">
        <is>
          <t>Q-1001</t>
        </is>
      </c>
      <c r="F13" s="6" t="inlineStr">
        <is>
          <t>2026-05-04</t>
        </is>
      </c>
      <c r="G13" s="6" t="n"/>
      <c r="H13" s="6" t="n">
        <v>3</v>
      </c>
      <c r="I13" s="6" t="n"/>
      <c r="J13" s="6" t="inlineStr">
        <is>
          <t>Grand total</t>
        </is>
      </c>
      <c r="K13" s="6" t="n"/>
      <c r="L13" s="6" t="n"/>
      <c r="M13" s="6" t="n"/>
      <c r="N13" s="8" t="n">
        <v>65480</v>
      </c>
      <c r="O13" s="6" t="inlineStr">
        <is>
          <t>GRAND</t>
        </is>
      </c>
      <c r="P13" s="6" t="inlineStr">
        <is>
          <t>H</t>
        </is>
      </c>
      <c r="Q13" s="6" t="n"/>
      <c r="R13" s="6" t="n"/>
      <c r="S13" s="6" t="n"/>
      <c r="T13" s="6" t="n"/>
      <c r="U13" s="6" t="n"/>
      <c r="V13" s="6" t="inlineStr">
        <is>
          <t>Project Alpha__Vendor A__quote__Q-1001.pdf</t>
        </is>
      </c>
      <c r="W13" s="2">
        <f>IF(A13="line",IF(D13="quote",E13,G13)&amp;"|"&amp;LOWER(TRIM(K13)),"")</f>
        <v/>
      </c>
      <c r="X13" s="2">
        <f>IF(OR(O13="LABOUR",O13="INSTALL"),"LABOUR_ALL",IF(O13="","",O13))</f>
        <v/>
      </c>
      <c r="Y13" s="9">
        <f>IF(AND(A13="line",D13="quote"),SUMIFS($N$2:$N$500,$W$2:$W$500,W13,$D$2:$D$500,"invoice",$A$2:$A$500,"line"),"")</f>
        <v/>
      </c>
      <c r="Z13" s="2">
        <f>IF(AND(A13="line",D13="quote"),COUNTIFS($W$2:$W$500,W13,$D$2:$D$500,"invoice",$A$2:$A$500,"line"),"")</f>
        <v/>
      </c>
      <c r="AA13" s="2">
        <f>IF(AND(A13="line",D13="invoice"),COUNTIFS($W$2:$W$500,W13,$D$2:$D$500,"quote",$A$2:$A$500,"line"),"")</f>
        <v/>
      </c>
      <c r="AB13" s="2">
        <f>IF(A13&lt;&gt;"line","",IF(D13="quote",IF(Z13=0,"quote only",IF(ABS(Y13-N13)&gt;Settings!$B$2,"amount differs","match")),IF(AA13=0,"invoice only","match")))</f>
        <v/>
      </c>
      <c r="AC13" s="2">
        <f>IF(AND(A13="line",AB13&lt;&gt;"match",COUNTIFS($A$2:$A$500,"coverage",$B$2:$B$500,B13,$C$2:$C$500,C13,$D$2:$D$500,"invoice")&gt;0),MAX($AC$1:AC12)+1,"")</f>
        <v/>
      </c>
      <c r="AD13" s="2">
        <f>IF(A13&lt;&gt;"line","",IF(O13="UNMAPPED","no mapping rule",IF(P13="L","low confidence","")))</f>
        <v/>
      </c>
      <c r="AE13" s="2">
        <f>IF(AD13&lt;&gt;"",MAX($AE$1:AE12)+1,"")</f>
        <v/>
      </c>
      <c r="AF13" s="2">
        <f>IF(A13="coverage",MAX($AF$1:AF12)+1,"")</f>
        <v/>
      </c>
      <c r="AG13" s="2">
        <f>IF(A13="line",IF(COUNTIFS($B$1:B12,B13,$C$1:C12,C13,$A$1:A12,"line")=0,MAX($AG$1:AG12)+1,""),"")</f>
        <v/>
      </c>
    </row>
    <row r="14">
      <c r="A14" s="6" t="inlineStr">
        <is>
          <t>coverage</t>
        </is>
      </c>
      <c r="B14" s="6" t="inlineStr">
        <is>
          <t>Project Alpha</t>
        </is>
      </c>
      <c r="C14" s="6" t="inlineStr">
        <is>
          <t>Vendor A</t>
        </is>
      </c>
      <c r="D14" s="6" t="inlineStr">
        <is>
          <t>quote</t>
        </is>
      </c>
      <c r="E14" s="6" t="inlineStr">
        <is>
          <t>Q-1001</t>
        </is>
      </c>
      <c r="F14" s="6" t="inlineStr">
        <is>
          <t>2026-05-04</t>
        </is>
      </c>
      <c r="G14" s="6" t="n"/>
      <c r="H14" s="6" t="n"/>
      <c r="I14" s="6" t="n"/>
      <c r="J14" s="6" t="n"/>
      <c r="K14" s="6" t="n"/>
      <c r="L14" s="6" t="n"/>
      <c r="M14" s="6" t="n"/>
      <c r="N14" s="6" t="n"/>
      <c r="O14" s="6" t="n"/>
      <c r="P14" s="6" t="n"/>
      <c r="Q14" s="6" t="n"/>
      <c r="R14" s="6" t="n">
        <v>3</v>
      </c>
      <c r="S14" s="6" t="inlineStr">
        <is>
          <t>1-3</t>
        </is>
      </c>
      <c r="T14" s="6" t="inlineStr">
        <is>
          <t>native</t>
        </is>
      </c>
      <c r="U14" s="6" t="inlineStr">
        <is>
          <t>Y</t>
        </is>
      </c>
      <c r="V14" s="6" t="inlineStr">
        <is>
          <t>Project Alpha__Vendor A__quote__Q-1001.pdf</t>
        </is>
      </c>
      <c r="W14" s="2">
        <f>IF(A14="line",IF(D14="quote",E14,G14)&amp;"|"&amp;LOWER(TRIM(K14)),"")</f>
        <v/>
      </c>
      <c r="X14" s="2">
        <f>IF(OR(O14="LABOUR",O14="INSTALL"),"LABOUR_ALL",IF(O14="","",O14))</f>
        <v/>
      </c>
      <c r="Y14" s="9">
        <f>IF(AND(A14="line",D14="quote"),SUMIFS($N$2:$N$500,$W$2:$W$500,W14,$D$2:$D$500,"invoice",$A$2:$A$500,"line"),"")</f>
        <v/>
      </c>
      <c r="Z14" s="2">
        <f>IF(AND(A14="line",D14="quote"),COUNTIFS($W$2:$W$500,W14,$D$2:$D$500,"invoice",$A$2:$A$500,"line"),"")</f>
        <v/>
      </c>
      <c r="AA14" s="2">
        <f>IF(AND(A14="line",D14="invoice"),COUNTIFS($W$2:$W$500,W14,$D$2:$D$500,"quote",$A$2:$A$500,"line"),"")</f>
        <v/>
      </c>
      <c r="AB14" s="2">
        <f>IF(A14&lt;&gt;"line","",IF(D14="quote",IF(Z14=0,"quote only",IF(ABS(Y14-N14)&gt;Settings!$B$2,"amount differs","match")),IF(AA14=0,"invoice only","match")))</f>
        <v/>
      </c>
      <c r="AC14" s="2">
        <f>IF(AND(A14="line",AB14&lt;&gt;"match",COUNTIFS($A$2:$A$500,"coverage",$B$2:$B$500,B14,$C$2:$C$500,C14,$D$2:$D$500,"invoice")&gt;0),MAX($AC$1:AC13)+1,"")</f>
        <v/>
      </c>
      <c r="AD14" s="2">
        <f>IF(A14&lt;&gt;"line","",IF(O14="UNMAPPED","no mapping rule",IF(P14="L","low confidence","")))</f>
        <v/>
      </c>
      <c r="AE14" s="2">
        <f>IF(AD14&lt;&gt;"",MAX($AE$1:AE13)+1,"")</f>
        <v/>
      </c>
      <c r="AF14" s="2">
        <f>IF(A14="coverage",MAX($AF$1:AF13)+1,"")</f>
        <v/>
      </c>
      <c r="AG14" s="2">
        <f>IF(A14="line",IF(COUNTIFS($B$1:B13,B14,$C$1:C13,C14,$A$1:A13,"line")=0,MAX($AG$1:AG13)+1,""),"")</f>
        <v/>
      </c>
    </row>
    <row r="15">
      <c r="A15" s="6" t="inlineStr">
        <is>
          <t>line</t>
        </is>
      </c>
      <c r="B15" s="6" t="inlineStr">
        <is>
          <t>Project Alpha</t>
        </is>
      </c>
      <c r="C15" s="6" t="inlineStr">
        <is>
          <t>Vendor A</t>
        </is>
      </c>
      <c r="D15" s="6" t="inlineStr">
        <is>
          <t>invoice</t>
        </is>
      </c>
      <c r="E15" s="6" t="inlineStr">
        <is>
          <t>INV-2001</t>
        </is>
      </c>
      <c r="F15" s="6" t="inlineStr">
        <is>
          <t>2026-07-15</t>
        </is>
      </c>
      <c r="G15" s="6" t="inlineStr">
        <is>
          <t>Q-1001</t>
        </is>
      </c>
      <c r="H15" s="6" t="n">
        <v>1</v>
      </c>
      <c r="I15" s="6" t="n">
        <v>1</v>
      </c>
      <c r="J15" s="6" t="inlineStr">
        <is>
          <t>Task chair TC-200</t>
        </is>
      </c>
      <c r="K15" s="6" t="inlineStr">
        <is>
          <t>Task chair, model TC-200</t>
        </is>
      </c>
      <c r="L15" s="7" t="n">
        <v>40</v>
      </c>
      <c r="M15" s="8" t="n">
        <v>350</v>
      </c>
      <c r="N15" s="8" t="n">
        <v>14000</v>
      </c>
      <c r="O15" s="6" t="inlineStr">
        <is>
          <t>PRODUCT</t>
        </is>
      </c>
      <c r="P15" s="6" t="inlineStr">
        <is>
          <t>H</t>
        </is>
      </c>
      <c r="Q15" s="6" t="n"/>
      <c r="R15" s="6" t="n"/>
      <c r="S15" s="6" t="n"/>
      <c r="T15" s="6" t="n"/>
      <c r="U15" s="6" t="n"/>
      <c r="V15" s="6" t="inlineStr">
        <is>
          <t>Project Alpha__Vendor A__invoice__INV-2001.pdf</t>
        </is>
      </c>
      <c r="W15" s="2">
        <f>IF(A15="line",IF(D15="quote",E15,G15)&amp;"|"&amp;LOWER(TRIM(K15)),"")</f>
        <v/>
      </c>
      <c r="X15" s="2">
        <f>IF(OR(O15="LABOUR",O15="INSTALL"),"LABOUR_ALL",IF(O15="","",O15))</f>
        <v/>
      </c>
      <c r="Y15" s="9">
        <f>IF(AND(A15="line",D15="quote"),SUMIFS($N$2:$N$500,$W$2:$W$500,W15,$D$2:$D$500,"invoice",$A$2:$A$500,"line"),"")</f>
        <v/>
      </c>
      <c r="Z15" s="2">
        <f>IF(AND(A15="line",D15="quote"),COUNTIFS($W$2:$W$500,W15,$D$2:$D$500,"invoice",$A$2:$A$500,"line"),"")</f>
        <v/>
      </c>
      <c r="AA15" s="2">
        <f>IF(AND(A15="line",D15="invoice"),COUNTIFS($W$2:$W$500,W15,$D$2:$D$500,"quote",$A$2:$A$500,"line"),"")</f>
        <v/>
      </c>
      <c r="AB15" s="2">
        <f>IF(A15&lt;&gt;"line","",IF(D15="quote",IF(Z15=0,"quote only",IF(ABS(Y15-N15)&gt;Settings!$B$2,"amount differs","match")),IF(AA15=0,"invoice only","match")))</f>
        <v/>
      </c>
      <c r="AC15" s="2">
        <f>IF(AND(A15="line",AB15&lt;&gt;"match",COUNTIFS($A$2:$A$500,"coverage",$B$2:$B$500,B15,$C$2:$C$500,C15,$D$2:$D$500,"invoice")&gt;0),MAX($AC$1:AC14)+1,"")</f>
        <v/>
      </c>
      <c r="AD15" s="2">
        <f>IF(A15&lt;&gt;"line","",IF(O15="UNMAPPED","no mapping rule",IF(P15="L","low confidence","")))</f>
        <v/>
      </c>
      <c r="AE15" s="2">
        <f>IF(AD15&lt;&gt;"",MAX($AE$1:AE14)+1,"")</f>
        <v/>
      </c>
      <c r="AF15" s="2">
        <f>IF(A15="coverage",MAX($AF$1:AF14)+1,"")</f>
        <v/>
      </c>
      <c r="AG15" s="2">
        <f>IF(A15="line",IF(COUNTIFS($B$1:B14,B15,$C$1:C14,C15,$A$1:A14,"line")=0,MAX($AG$1:AG14)+1,""),"")</f>
        <v/>
      </c>
    </row>
    <row r="16">
      <c r="A16" s="6" t="inlineStr">
        <is>
          <t>line</t>
        </is>
      </c>
      <c r="B16" s="6" t="inlineStr">
        <is>
          <t>Project Alpha</t>
        </is>
      </c>
      <c r="C16" s="6" t="inlineStr">
        <is>
          <t>Vendor A</t>
        </is>
      </c>
      <c r="D16" s="6" t="inlineStr">
        <is>
          <t>invoice</t>
        </is>
      </c>
      <c r="E16" s="6" t="inlineStr">
        <is>
          <t>INV-2001</t>
        </is>
      </c>
      <c r="F16" s="6" t="inlineStr">
        <is>
          <t>2026-07-15</t>
        </is>
      </c>
      <c r="G16" s="6" t="inlineStr">
        <is>
          <t>Q-1001</t>
        </is>
      </c>
      <c r="H16" s="6" t="n">
        <v>1</v>
      </c>
      <c r="I16" s="6" t="n">
        <v>2</v>
      </c>
      <c r="J16" s="6" t="inlineStr">
        <is>
          <t>Desk HA-1600</t>
        </is>
      </c>
      <c r="K16" s="6" t="inlineStr">
        <is>
          <t>Height-adjustable desk 1600</t>
        </is>
      </c>
      <c r="L16" s="7" t="n">
        <v>40</v>
      </c>
      <c r="M16" s="8" t="n">
        <v>620</v>
      </c>
      <c r="N16" s="8" t="n">
        <v>24800</v>
      </c>
      <c r="O16" s="6" t="inlineStr">
        <is>
          <t>PRODUCT</t>
        </is>
      </c>
      <c r="P16" s="6" t="inlineStr">
        <is>
          <t>H</t>
        </is>
      </c>
      <c r="Q16" s="6" t="n"/>
      <c r="R16" s="6" t="n"/>
      <c r="S16" s="6" t="n"/>
      <c r="T16" s="6" t="n"/>
      <c r="U16" s="6" t="n"/>
      <c r="V16" s="6" t="inlineStr">
        <is>
          <t>Project Alpha__Vendor A__invoice__INV-2001.pdf</t>
        </is>
      </c>
      <c r="W16" s="2">
        <f>IF(A16="line",IF(D16="quote",E16,G16)&amp;"|"&amp;LOWER(TRIM(K16)),"")</f>
        <v/>
      </c>
      <c r="X16" s="2">
        <f>IF(OR(O16="LABOUR",O16="INSTALL"),"LABOUR_ALL",IF(O16="","",O16))</f>
        <v/>
      </c>
      <c r="Y16" s="9">
        <f>IF(AND(A16="line",D16="quote"),SUMIFS($N$2:$N$500,$W$2:$W$500,W16,$D$2:$D$500,"invoice",$A$2:$A$500,"line"),"")</f>
        <v/>
      </c>
      <c r="Z16" s="2">
        <f>IF(AND(A16="line",D16="quote"),COUNTIFS($W$2:$W$500,W16,$D$2:$D$500,"invoice",$A$2:$A$500,"line"),"")</f>
        <v/>
      </c>
      <c r="AA16" s="2">
        <f>IF(AND(A16="line",D16="invoice"),COUNTIFS($W$2:$W$500,W16,$D$2:$D$500,"quote",$A$2:$A$500,"line"),"")</f>
        <v/>
      </c>
      <c r="AB16" s="2">
        <f>IF(A16&lt;&gt;"line","",IF(D16="quote",IF(Z16=0,"quote only",IF(ABS(Y16-N16)&gt;Settings!$B$2,"amount differs","match")),IF(AA16=0,"invoice only","match")))</f>
        <v/>
      </c>
      <c r="AC16" s="2">
        <f>IF(AND(A16="line",AB16&lt;&gt;"match",COUNTIFS($A$2:$A$500,"coverage",$B$2:$B$500,B16,$C$2:$C$500,C16,$D$2:$D$500,"invoice")&gt;0),MAX($AC$1:AC15)+1,"")</f>
        <v/>
      </c>
      <c r="AD16" s="2">
        <f>IF(A16&lt;&gt;"line","",IF(O16="UNMAPPED","no mapping rule",IF(P16="L","low confidence","")))</f>
        <v/>
      </c>
      <c r="AE16" s="2">
        <f>IF(AD16&lt;&gt;"",MAX($AE$1:AE15)+1,"")</f>
        <v/>
      </c>
      <c r="AF16" s="2">
        <f>IF(A16="coverage",MAX($AF$1:AF15)+1,"")</f>
        <v/>
      </c>
      <c r="AG16" s="2">
        <f>IF(A16="line",IF(COUNTIFS($B$1:B15,B16,$C$1:C15,C16,$A$1:A15,"line")=0,MAX($AG$1:AG15)+1,""),"")</f>
        <v/>
      </c>
    </row>
    <row r="17">
      <c r="A17" s="6" t="inlineStr">
        <is>
          <t>line</t>
        </is>
      </c>
      <c r="B17" s="6" t="inlineStr">
        <is>
          <t>Project Alpha</t>
        </is>
      </c>
      <c r="C17" s="6" t="inlineStr">
        <is>
          <t>Vendor A</t>
        </is>
      </c>
      <c r="D17" s="6" t="inlineStr">
        <is>
          <t>invoice</t>
        </is>
      </c>
      <c r="E17" s="6" t="inlineStr">
        <is>
          <t>INV-2001</t>
        </is>
      </c>
      <c r="F17" s="6" t="inlineStr">
        <is>
          <t>2026-07-15</t>
        </is>
      </c>
      <c r="G17" s="6" t="inlineStr">
        <is>
          <t>Q-1001</t>
        </is>
      </c>
      <c r="H17" s="6" t="n">
        <v>1</v>
      </c>
      <c r="I17" s="6" t="n">
        <v>3</v>
      </c>
      <c r="J17" s="6" t="inlineStr">
        <is>
          <t>Pedestal</t>
        </is>
      </c>
      <c r="K17" s="6" t="inlineStr">
        <is>
          <t>Storage pedestal</t>
        </is>
      </c>
      <c r="L17" s="7" t="n">
        <v>40</v>
      </c>
      <c r="M17" s="8" t="n">
        <v>180</v>
      </c>
      <c r="N17" s="8" t="n">
        <v>7200</v>
      </c>
      <c r="O17" s="6" t="inlineStr">
        <is>
          <t>PRODUCT</t>
        </is>
      </c>
      <c r="P17" s="6" t="inlineStr">
        <is>
          <t>H</t>
        </is>
      </c>
      <c r="Q17" s="6" t="n"/>
      <c r="R17" s="6" t="n"/>
      <c r="S17" s="6" t="n"/>
      <c r="T17" s="6" t="n"/>
      <c r="U17" s="6" t="n"/>
      <c r="V17" s="6" t="inlineStr">
        <is>
          <t>Project Alpha__Vendor A__invoice__INV-2001.pdf</t>
        </is>
      </c>
      <c r="W17" s="2">
        <f>IF(A17="line",IF(D17="quote",E17,G17)&amp;"|"&amp;LOWER(TRIM(K17)),"")</f>
        <v/>
      </c>
      <c r="X17" s="2">
        <f>IF(OR(O17="LABOUR",O17="INSTALL"),"LABOUR_ALL",IF(O17="","",O17))</f>
        <v/>
      </c>
      <c r="Y17" s="9">
        <f>IF(AND(A17="line",D17="quote"),SUMIFS($N$2:$N$500,$W$2:$W$500,W17,$D$2:$D$500,"invoice",$A$2:$A$500,"line"),"")</f>
        <v/>
      </c>
      <c r="Z17" s="2">
        <f>IF(AND(A17="line",D17="quote"),COUNTIFS($W$2:$W$500,W17,$D$2:$D$500,"invoice",$A$2:$A$500,"line"),"")</f>
        <v/>
      </c>
      <c r="AA17" s="2">
        <f>IF(AND(A17="line",D17="invoice"),COUNTIFS($W$2:$W$500,W17,$D$2:$D$500,"quote",$A$2:$A$500,"line"),"")</f>
        <v/>
      </c>
      <c r="AB17" s="2">
        <f>IF(A17&lt;&gt;"line","",IF(D17="quote",IF(Z17=0,"quote only",IF(ABS(Y17-N17)&gt;Settings!$B$2,"amount differs","match")),IF(AA17=0,"invoice only","match")))</f>
        <v/>
      </c>
      <c r="AC17" s="2">
        <f>IF(AND(A17="line",AB17&lt;&gt;"match",COUNTIFS($A$2:$A$500,"coverage",$B$2:$B$500,B17,$C$2:$C$500,C17,$D$2:$D$500,"invoice")&gt;0),MAX($AC$1:AC16)+1,"")</f>
        <v/>
      </c>
      <c r="AD17" s="2">
        <f>IF(A17&lt;&gt;"line","",IF(O17="UNMAPPED","no mapping rule",IF(P17="L","low confidence","")))</f>
        <v/>
      </c>
      <c r="AE17" s="2">
        <f>IF(AD17&lt;&gt;"",MAX($AE$1:AE16)+1,"")</f>
        <v/>
      </c>
      <c r="AF17" s="2">
        <f>IF(A17="coverage",MAX($AF$1:AF16)+1,"")</f>
        <v/>
      </c>
      <c r="AG17" s="2">
        <f>IF(A17="line",IF(COUNTIFS($B$1:B16,B17,$C$1:C16,C17,$A$1:A16,"line")=0,MAX($AG$1:AG16)+1,""),"")</f>
        <v/>
      </c>
    </row>
    <row r="18">
      <c r="A18" s="6" t="inlineStr">
        <is>
          <t>line</t>
        </is>
      </c>
      <c r="B18" s="6" t="inlineStr">
        <is>
          <t>Project Alpha</t>
        </is>
      </c>
      <c r="C18" s="6" t="inlineStr">
        <is>
          <t>Vendor A</t>
        </is>
      </c>
      <c r="D18" s="6" t="inlineStr">
        <is>
          <t>invoice</t>
        </is>
      </c>
      <c r="E18" s="6" t="inlineStr">
        <is>
          <t>INV-2001</t>
        </is>
      </c>
      <c r="F18" s="6" t="inlineStr">
        <is>
          <t>2026-07-15</t>
        </is>
      </c>
      <c r="G18" s="6" t="inlineStr">
        <is>
          <t>Q-1001</t>
        </is>
      </c>
      <c r="H18" s="6" t="n">
        <v>2</v>
      </c>
      <c r="I18" s="6" t="n">
        <v>4</v>
      </c>
      <c r="J18" s="6" t="inlineStr">
        <is>
          <t>Installation</t>
        </is>
      </c>
      <c r="K18" s="6" t="inlineStr">
        <is>
          <t>Installation, 40 workstations, fixed price</t>
        </is>
      </c>
      <c r="L18" s="6" t="n"/>
      <c r="M18" s="6" t="n"/>
      <c r="N18" s="8" t="n">
        <v>9600</v>
      </c>
      <c r="O18" s="6" t="inlineStr">
        <is>
          <t>INSTALL</t>
        </is>
      </c>
      <c r="P18" s="6" t="inlineStr">
        <is>
          <t>H</t>
        </is>
      </c>
      <c r="Q18" s="6" t="n"/>
      <c r="R18" s="6" t="n"/>
      <c r="S18" s="6" t="n"/>
      <c r="T18" s="6" t="n"/>
      <c r="U18" s="6" t="n"/>
      <c r="V18" s="6" t="inlineStr">
        <is>
          <t>Project Alpha__Vendor A__invoice__INV-2001.pdf</t>
        </is>
      </c>
      <c r="W18" s="2">
        <f>IF(A18="line",IF(D18="quote",E18,G18)&amp;"|"&amp;LOWER(TRIM(K18)),"")</f>
        <v/>
      </c>
      <c r="X18" s="2">
        <f>IF(OR(O18="LABOUR",O18="INSTALL"),"LABOUR_ALL",IF(O18="","",O18))</f>
        <v/>
      </c>
      <c r="Y18" s="9">
        <f>IF(AND(A18="line",D18="quote"),SUMIFS($N$2:$N$500,$W$2:$W$500,W18,$D$2:$D$500,"invoice",$A$2:$A$500,"line"),"")</f>
        <v/>
      </c>
      <c r="Z18" s="2">
        <f>IF(AND(A18="line",D18="quote"),COUNTIFS($W$2:$W$500,W18,$D$2:$D$500,"invoice",$A$2:$A$500,"line"),"")</f>
        <v/>
      </c>
      <c r="AA18" s="2">
        <f>IF(AND(A18="line",D18="invoice"),COUNTIFS($W$2:$W$500,W18,$D$2:$D$500,"quote",$A$2:$A$500,"line"),"")</f>
        <v/>
      </c>
      <c r="AB18" s="2">
        <f>IF(A18&lt;&gt;"line","",IF(D18="quote",IF(Z18=0,"quote only",IF(ABS(Y18-N18)&gt;Settings!$B$2,"amount differs","match")),IF(AA18=0,"invoice only","match")))</f>
        <v/>
      </c>
      <c r="AC18" s="2">
        <f>IF(AND(A18="line",AB18&lt;&gt;"match",COUNTIFS($A$2:$A$500,"coverage",$B$2:$B$500,B18,$C$2:$C$500,C18,$D$2:$D$500,"invoice")&gt;0),MAX($AC$1:AC17)+1,"")</f>
        <v/>
      </c>
      <c r="AD18" s="2">
        <f>IF(A18&lt;&gt;"line","",IF(O18="UNMAPPED","no mapping rule",IF(P18="L","low confidence","")))</f>
        <v/>
      </c>
      <c r="AE18" s="2">
        <f>IF(AD18&lt;&gt;"",MAX($AE$1:AE17)+1,"")</f>
        <v/>
      </c>
      <c r="AF18" s="2">
        <f>IF(A18="coverage",MAX($AF$1:AF17)+1,"")</f>
        <v/>
      </c>
      <c r="AG18" s="2">
        <f>IF(A18="line",IF(COUNTIFS($B$1:B17,B18,$C$1:C17,C18,$A$1:A17,"line")=0,MAX($AG$1:AG17)+1,""),"")</f>
        <v/>
      </c>
    </row>
    <row r="19">
      <c r="A19" s="6" t="inlineStr">
        <is>
          <t>line</t>
        </is>
      </c>
      <c r="B19" s="6" t="inlineStr">
        <is>
          <t>Project Alpha</t>
        </is>
      </c>
      <c r="C19" s="6" t="inlineStr">
        <is>
          <t>Vendor A</t>
        </is>
      </c>
      <c r="D19" s="6" t="inlineStr">
        <is>
          <t>invoice</t>
        </is>
      </c>
      <c r="E19" s="6" t="inlineStr">
        <is>
          <t>INV-2001</t>
        </is>
      </c>
      <c r="F19" s="6" t="inlineStr">
        <is>
          <t>2026-07-15</t>
        </is>
      </c>
      <c r="G19" s="6" t="inlineStr">
        <is>
          <t>Q-1001</t>
        </is>
      </c>
      <c r="H19" s="6" t="n">
        <v>2</v>
      </c>
      <c r="I19" s="6" t="n">
        <v>5</v>
      </c>
      <c r="J19" s="6" t="inlineStr">
        <is>
          <t>Install labour - additional hours</t>
        </is>
      </c>
      <c r="K19" s="6" t="inlineStr">
        <is>
          <t>Additional installation hours, 32 hrs at 95</t>
        </is>
      </c>
      <c r="L19" s="7" t="n">
        <v>32</v>
      </c>
      <c r="M19" s="8" t="n">
        <v>95</v>
      </c>
      <c r="N19" s="8" t="n">
        <v>3040</v>
      </c>
      <c r="O19" s="6" t="inlineStr">
        <is>
          <t>INSTALL</t>
        </is>
      </c>
      <c r="P19" s="6" t="inlineStr">
        <is>
          <t>M</t>
        </is>
      </c>
      <c r="Q19" s="6" t="inlineStr">
        <is>
          <t>matched by principle</t>
        </is>
      </c>
      <c r="R19" s="6" t="n"/>
      <c r="S19" s="6" t="n"/>
      <c r="T19" s="6" t="n"/>
      <c r="U19" s="6" t="n"/>
      <c r="V19" s="6" t="inlineStr">
        <is>
          <t>Project Alpha__Vendor A__invoice__INV-2001.pdf</t>
        </is>
      </c>
      <c r="W19" s="2">
        <f>IF(A19="line",IF(D19="quote",E19,G19)&amp;"|"&amp;LOWER(TRIM(K19)),"")</f>
        <v/>
      </c>
      <c r="X19" s="2">
        <f>IF(OR(O19="LABOUR",O19="INSTALL"),"LABOUR_ALL",IF(O19="","",O19))</f>
        <v/>
      </c>
      <c r="Y19" s="9">
        <f>IF(AND(A19="line",D19="quote"),SUMIFS($N$2:$N$500,$W$2:$W$500,W19,$D$2:$D$500,"invoice",$A$2:$A$500,"line"),"")</f>
        <v/>
      </c>
      <c r="Z19" s="2">
        <f>IF(AND(A19="line",D19="quote"),COUNTIFS($W$2:$W$500,W19,$D$2:$D$500,"invoice",$A$2:$A$500,"line"),"")</f>
        <v/>
      </c>
      <c r="AA19" s="2">
        <f>IF(AND(A19="line",D19="invoice"),COUNTIFS($W$2:$W$500,W19,$D$2:$D$500,"quote",$A$2:$A$500,"line"),"")</f>
        <v/>
      </c>
      <c r="AB19" s="2">
        <f>IF(A19&lt;&gt;"line","",IF(D19="quote",IF(Z19=0,"quote only",IF(ABS(Y19-N19)&gt;Settings!$B$2,"amount differs","match")),IF(AA19=0,"invoice only","match")))</f>
        <v/>
      </c>
      <c r="AC19" s="2">
        <f>IF(AND(A19="line",AB19&lt;&gt;"match",COUNTIFS($A$2:$A$500,"coverage",$B$2:$B$500,B19,$C$2:$C$500,C19,$D$2:$D$500,"invoice")&gt;0),MAX($AC$1:AC18)+1,"")</f>
        <v/>
      </c>
      <c r="AD19" s="2">
        <f>IF(A19&lt;&gt;"line","",IF(O19="UNMAPPED","no mapping rule",IF(P19="L","low confidence","")))</f>
        <v/>
      </c>
      <c r="AE19" s="2">
        <f>IF(AD19&lt;&gt;"",MAX($AE$1:AE18)+1,"")</f>
        <v/>
      </c>
      <c r="AF19" s="2">
        <f>IF(A19="coverage",MAX($AF$1:AF18)+1,"")</f>
        <v/>
      </c>
      <c r="AG19" s="2">
        <f>IF(A19="line",IF(COUNTIFS($B$1:B18,B19,$C$1:C18,C19,$A$1:A18,"line")=0,MAX($AG$1:AG18)+1,""),"")</f>
        <v/>
      </c>
    </row>
    <row r="20">
      <c r="A20" s="6" t="inlineStr">
        <is>
          <t>line</t>
        </is>
      </c>
      <c r="B20" s="6" t="inlineStr">
        <is>
          <t>Project Alpha</t>
        </is>
      </c>
      <c r="C20" s="6" t="inlineStr">
        <is>
          <t>Vendor A</t>
        </is>
      </c>
      <c r="D20" s="6" t="inlineStr">
        <is>
          <t>invoice</t>
        </is>
      </c>
      <c r="E20" s="6" t="inlineStr">
        <is>
          <t>INV-2001</t>
        </is>
      </c>
      <c r="F20" s="6" t="inlineStr">
        <is>
          <t>2026-07-15</t>
        </is>
      </c>
      <c r="G20" s="6" t="inlineStr">
        <is>
          <t>Q-1001</t>
        </is>
      </c>
      <c r="H20" s="6" t="n">
        <v>2</v>
      </c>
      <c r="I20" s="6" t="n">
        <v>6</v>
      </c>
      <c r="J20" s="6" t="inlineStr">
        <is>
          <t>Project management</t>
        </is>
      </c>
      <c r="K20" s="6" t="inlineStr">
        <is>
          <t>Project management fee</t>
        </is>
      </c>
      <c r="L20" s="6" t="n"/>
      <c r="M20" s="6" t="n"/>
      <c r="N20" s="8" t="n">
        <v>2400</v>
      </c>
      <c r="O20" s="6" t="inlineStr">
        <is>
          <t>LABOUR</t>
        </is>
      </c>
      <c r="P20" s="6" t="inlineStr">
        <is>
          <t>H</t>
        </is>
      </c>
      <c r="Q20" s="6" t="n"/>
      <c r="R20" s="6" t="n"/>
      <c r="S20" s="6" t="n"/>
      <c r="T20" s="6" t="n"/>
      <c r="U20" s="6" t="n"/>
      <c r="V20" s="6" t="inlineStr">
        <is>
          <t>Project Alpha__Vendor A__invoice__INV-2001.pdf</t>
        </is>
      </c>
      <c r="W20" s="2">
        <f>IF(A20="line",IF(D20="quote",E20,G20)&amp;"|"&amp;LOWER(TRIM(K20)),"")</f>
        <v/>
      </c>
      <c r="X20" s="2">
        <f>IF(OR(O20="LABOUR",O20="INSTALL"),"LABOUR_ALL",IF(O20="","",O20))</f>
        <v/>
      </c>
      <c r="Y20" s="9">
        <f>IF(AND(A20="line",D20="quote"),SUMIFS($N$2:$N$500,$W$2:$W$500,W20,$D$2:$D$500,"invoice",$A$2:$A$500,"line"),"")</f>
        <v/>
      </c>
      <c r="Z20" s="2">
        <f>IF(AND(A20="line",D20="quote"),COUNTIFS($W$2:$W$500,W20,$D$2:$D$500,"invoice",$A$2:$A$500,"line"),"")</f>
        <v/>
      </c>
      <c r="AA20" s="2">
        <f>IF(AND(A20="line",D20="invoice"),COUNTIFS($W$2:$W$500,W20,$D$2:$D$500,"quote",$A$2:$A$500,"line"),"")</f>
        <v/>
      </c>
      <c r="AB20" s="2">
        <f>IF(A20&lt;&gt;"line","",IF(D20="quote",IF(Z20=0,"quote only",IF(ABS(Y20-N20)&gt;Settings!$B$2,"amount differs","match")),IF(AA20=0,"invoice only","match")))</f>
        <v/>
      </c>
      <c r="AC20" s="2">
        <f>IF(AND(A20="line",AB20&lt;&gt;"match",COUNTIFS($A$2:$A$500,"coverage",$B$2:$B$500,B20,$C$2:$C$500,C20,$D$2:$D$500,"invoice")&gt;0),MAX($AC$1:AC19)+1,"")</f>
        <v/>
      </c>
      <c r="AD20" s="2">
        <f>IF(A20&lt;&gt;"line","",IF(O20="UNMAPPED","no mapping rule",IF(P20="L","low confidence","")))</f>
        <v/>
      </c>
      <c r="AE20" s="2">
        <f>IF(AD20&lt;&gt;"",MAX($AE$1:AE19)+1,"")</f>
        <v/>
      </c>
      <c r="AF20" s="2">
        <f>IF(A20="coverage",MAX($AF$1:AF19)+1,"")</f>
        <v/>
      </c>
      <c r="AG20" s="2">
        <f>IF(A20="line",IF(COUNTIFS($B$1:B19,B20,$C$1:C19,C20,$A$1:A19,"line")=0,MAX($AG$1:AG19)+1,""),"")</f>
        <v/>
      </c>
    </row>
    <row r="21">
      <c r="A21" s="6" t="inlineStr">
        <is>
          <t>line</t>
        </is>
      </c>
      <c r="B21" s="6" t="inlineStr">
        <is>
          <t>Project Alpha</t>
        </is>
      </c>
      <c r="C21" s="6" t="inlineStr">
        <is>
          <t>Vendor A</t>
        </is>
      </c>
      <c r="D21" s="6" t="inlineStr">
        <is>
          <t>invoice</t>
        </is>
      </c>
      <c r="E21" s="6" t="inlineStr">
        <is>
          <t>INV-2001</t>
        </is>
      </c>
      <c r="F21" s="6" t="inlineStr">
        <is>
          <t>2026-07-15</t>
        </is>
      </c>
      <c r="G21" s="6" t="inlineStr">
        <is>
          <t>Q-1001</t>
        </is>
      </c>
      <c r="H21" s="6" t="n">
        <v>2</v>
      </c>
      <c r="I21" s="6" t="n">
        <v>7</v>
      </c>
      <c r="J21" s="6" t="inlineStr">
        <is>
          <t>Freight</t>
        </is>
      </c>
      <c r="K21" s="6" t="inlineStr">
        <is>
          <t>Freight to site</t>
        </is>
      </c>
      <c r="L21" s="6" t="n"/>
      <c r="M21" s="6" t="n"/>
      <c r="N21" s="8" t="n">
        <v>2100</v>
      </c>
      <c r="O21" s="6" t="inlineStr">
        <is>
          <t>LABOUR</t>
        </is>
      </c>
      <c r="P21" s="6" t="inlineStr">
        <is>
          <t>H</t>
        </is>
      </c>
      <c r="Q21" s="6" t="n"/>
      <c r="R21" s="6" t="n"/>
      <c r="S21" s="6" t="n"/>
      <c r="T21" s="6" t="n"/>
      <c r="U21" s="6" t="n"/>
      <c r="V21" s="6" t="inlineStr">
        <is>
          <t>Project Alpha__Vendor A__invoice__INV-2001.pdf</t>
        </is>
      </c>
      <c r="W21" s="2">
        <f>IF(A21="line",IF(D21="quote",E21,G21)&amp;"|"&amp;LOWER(TRIM(K21)),"")</f>
        <v/>
      </c>
      <c r="X21" s="2">
        <f>IF(OR(O21="LABOUR",O21="INSTALL"),"LABOUR_ALL",IF(O21="","",O21))</f>
        <v/>
      </c>
      <c r="Y21" s="9">
        <f>IF(AND(A21="line",D21="quote"),SUMIFS($N$2:$N$500,$W$2:$W$500,W21,$D$2:$D$500,"invoice",$A$2:$A$500,"line"),"")</f>
        <v/>
      </c>
      <c r="Z21" s="2">
        <f>IF(AND(A21="line",D21="quote"),COUNTIFS($W$2:$W$500,W21,$D$2:$D$500,"invoice",$A$2:$A$500,"line"),"")</f>
        <v/>
      </c>
      <c r="AA21" s="2">
        <f>IF(AND(A21="line",D21="invoice"),COUNTIFS($W$2:$W$500,W21,$D$2:$D$500,"quote",$A$2:$A$500,"line"),"")</f>
        <v/>
      </c>
      <c r="AB21" s="2">
        <f>IF(A21&lt;&gt;"line","",IF(D21="quote",IF(Z21=0,"quote only",IF(ABS(Y21-N21)&gt;Settings!$B$2,"amount differs","match")),IF(AA21=0,"invoice only","match")))</f>
        <v/>
      </c>
      <c r="AC21" s="2">
        <f>IF(AND(A21="line",AB21&lt;&gt;"match",COUNTIFS($A$2:$A$500,"coverage",$B$2:$B$500,B21,$C$2:$C$500,C21,$D$2:$D$500,"invoice")&gt;0),MAX($AC$1:AC20)+1,"")</f>
        <v/>
      </c>
      <c r="AD21" s="2">
        <f>IF(A21&lt;&gt;"line","",IF(O21="UNMAPPED","no mapping rule",IF(P21="L","low confidence","")))</f>
        <v/>
      </c>
      <c r="AE21" s="2">
        <f>IF(AD21&lt;&gt;"",MAX($AE$1:AE20)+1,"")</f>
        <v/>
      </c>
      <c r="AF21" s="2">
        <f>IF(A21="coverage",MAX($AF$1:AF20)+1,"")</f>
        <v/>
      </c>
      <c r="AG21" s="2">
        <f>IF(A21="line",IF(COUNTIFS($B$1:B20,B21,$C$1:C20,C21,$A$1:A20,"line")=0,MAX($AG$1:AG20)+1,""),"")</f>
        <v/>
      </c>
    </row>
    <row r="22">
      <c r="A22" s="6" t="inlineStr">
        <is>
          <t>line</t>
        </is>
      </c>
      <c r="B22" s="6" t="inlineStr">
        <is>
          <t>Project Alpha</t>
        </is>
      </c>
      <c r="C22" s="6" t="inlineStr">
        <is>
          <t>Vendor A</t>
        </is>
      </c>
      <c r="D22" s="6" t="inlineStr">
        <is>
          <t>invoice</t>
        </is>
      </c>
      <c r="E22" s="6" t="inlineStr">
        <is>
          <t>INV-2001</t>
        </is>
      </c>
      <c r="F22" s="6" t="inlineStr">
        <is>
          <t>2026-07-15</t>
        </is>
      </c>
      <c r="G22" s="6" t="inlineStr">
        <is>
          <t>Q-1001</t>
        </is>
      </c>
      <c r="H22" s="6" t="n">
        <v>2</v>
      </c>
      <c r="I22" s="6" t="n">
        <v>8</v>
      </c>
      <c r="J22" s="6" t="inlineStr">
        <is>
          <t>Site services</t>
        </is>
      </c>
      <c r="K22" s="6" t="inlineStr">
        <is>
          <t>Site services</t>
        </is>
      </c>
      <c r="L22" s="6" t="n"/>
      <c r="M22" s="6" t="n"/>
      <c r="N22" s="8" t="n">
        <v>650</v>
      </c>
      <c r="O22" s="6" t="inlineStr">
        <is>
          <t>UNMAPPED</t>
        </is>
      </c>
      <c r="P22" s="6" t="inlineStr">
        <is>
          <t>L</t>
        </is>
      </c>
      <c r="Q22" s="6" t="inlineStr">
        <is>
          <t>no mapping rule</t>
        </is>
      </c>
      <c r="R22" s="6" t="n"/>
      <c r="S22" s="6" t="n"/>
      <c r="T22" s="6" t="n"/>
      <c r="U22" s="6" t="n"/>
      <c r="V22" s="6" t="inlineStr">
        <is>
          <t>Project Alpha__Vendor A__invoice__INV-2001.pdf</t>
        </is>
      </c>
      <c r="W22" s="2">
        <f>IF(A22="line",IF(D22="quote",E22,G22)&amp;"|"&amp;LOWER(TRIM(K22)),"")</f>
        <v/>
      </c>
      <c r="X22" s="2">
        <f>IF(OR(O22="LABOUR",O22="INSTALL"),"LABOUR_ALL",IF(O22="","",O22))</f>
        <v/>
      </c>
      <c r="Y22" s="9">
        <f>IF(AND(A22="line",D22="quote"),SUMIFS($N$2:$N$500,$W$2:$W$500,W22,$D$2:$D$500,"invoice",$A$2:$A$500,"line"),"")</f>
        <v/>
      </c>
      <c r="Z22" s="2">
        <f>IF(AND(A22="line",D22="quote"),COUNTIFS($W$2:$W$500,W22,$D$2:$D$500,"invoice",$A$2:$A$500,"line"),"")</f>
        <v/>
      </c>
      <c r="AA22" s="2">
        <f>IF(AND(A22="line",D22="invoice"),COUNTIFS($W$2:$W$500,W22,$D$2:$D$500,"quote",$A$2:$A$500,"line"),"")</f>
        <v/>
      </c>
      <c r="AB22" s="2">
        <f>IF(A22&lt;&gt;"line","",IF(D22="quote",IF(Z22=0,"quote only",IF(ABS(Y22-N22)&gt;Settings!$B$2,"amount differs","match")),IF(AA22=0,"invoice only","match")))</f>
        <v/>
      </c>
      <c r="AC22" s="2">
        <f>IF(AND(A22="line",AB22&lt;&gt;"match",COUNTIFS($A$2:$A$500,"coverage",$B$2:$B$500,B22,$C$2:$C$500,C22,$D$2:$D$500,"invoice")&gt;0),MAX($AC$1:AC21)+1,"")</f>
        <v/>
      </c>
      <c r="AD22" s="2">
        <f>IF(A22&lt;&gt;"line","",IF(O22="UNMAPPED","no mapping rule",IF(P22="L","low confidence","")))</f>
        <v/>
      </c>
      <c r="AE22" s="2">
        <f>IF(AD22&lt;&gt;"",MAX($AE$1:AE21)+1,"")</f>
        <v/>
      </c>
      <c r="AF22" s="2">
        <f>IF(A22="coverage",MAX($AF$1:AF21)+1,"")</f>
        <v/>
      </c>
      <c r="AG22" s="2">
        <f>IF(A22="line",IF(COUNTIFS($B$1:B21,B22,$C$1:C21,C22,$A$1:A21,"line")=0,MAX($AG$1:AG21)+1,""),"")</f>
        <v/>
      </c>
    </row>
    <row r="23">
      <c r="A23" s="6" t="inlineStr">
        <is>
          <t>line</t>
        </is>
      </c>
      <c r="B23" s="6" t="inlineStr">
        <is>
          <t>Project Alpha</t>
        </is>
      </c>
      <c r="C23" s="6" t="inlineStr">
        <is>
          <t>Vendor A</t>
        </is>
      </c>
      <c r="D23" s="6" t="inlineStr">
        <is>
          <t>invoice</t>
        </is>
      </c>
      <c r="E23" s="6" t="inlineStr">
        <is>
          <t>INV-2001</t>
        </is>
      </c>
      <c r="F23" s="6" t="inlineStr">
        <is>
          <t>2026-07-15</t>
        </is>
      </c>
      <c r="G23" s="6" t="inlineStr">
        <is>
          <t>Q-1001</t>
        </is>
      </c>
      <c r="H23" s="6" t="n">
        <v>2</v>
      </c>
      <c r="I23" s="6" t="n">
        <v>9</v>
      </c>
      <c r="J23" s="6" t="inlineStr">
        <is>
          <t>Sales tax</t>
        </is>
      </c>
      <c r="K23" s="6" t="inlineStr">
        <is>
          <t>Sales tax 8%</t>
        </is>
      </c>
      <c r="L23" s="6" t="n"/>
      <c r="M23" s="6" t="n"/>
      <c r="N23" s="8" t="n">
        <v>3680</v>
      </c>
      <c r="O23" s="6" t="inlineStr">
        <is>
          <t>EXCLUDED</t>
        </is>
      </c>
      <c r="P23" s="6" t="inlineStr">
        <is>
          <t>H</t>
        </is>
      </c>
      <c r="Q23" s="6" t="n"/>
      <c r="R23" s="6" t="n"/>
      <c r="S23" s="6" t="n"/>
      <c r="T23" s="6" t="n"/>
      <c r="U23" s="6" t="n"/>
      <c r="V23" s="6" t="inlineStr">
        <is>
          <t>Project Alpha__Vendor A__invoice__INV-2001.pdf</t>
        </is>
      </c>
      <c r="W23" s="2">
        <f>IF(A23="line",IF(D23="quote",E23,G23)&amp;"|"&amp;LOWER(TRIM(K23)),"")</f>
        <v/>
      </c>
      <c r="X23" s="2">
        <f>IF(OR(O23="LABOUR",O23="INSTALL"),"LABOUR_ALL",IF(O23="","",O23))</f>
        <v/>
      </c>
      <c r="Y23" s="9">
        <f>IF(AND(A23="line",D23="quote"),SUMIFS($N$2:$N$500,$W$2:$W$500,W23,$D$2:$D$500,"invoice",$A$2:$A$500,"line"),"")</f>
        <v/>
      </c>
      <c r="Z23" s="2">
        <f>IF(AND(A23="line",D23="quote"),COUNTIFS($W$2:$W$500,W23,$D$2:$D$500,"invoice",$A$2:$A$500,"line"),"")</f>
        <v/>
      </c>
      <c r="AA23" s="2">
        <f>IF(AND(A23="line",D23="invoice"),COUNTIFS($W$2:$W$500,W23,$D$2:$D$500,"quote",$A$2:$A$500,"line"),"")</f>
        <v/>
      </c>
      <c r="AB23" s="2">
        <f>IF(A23&lt;&gt;"line","",IF(D23="quote",IF(Z23=0,"quote only",IF(ABS(Y23-N23)&gt;Settings!$B$2,"amount differs","match")),IF(AA23=0,"invoice only","match")))</f>
        <v/>
      </c>
      <c r="AC23" s="2">
        <f>IF(AND(A23="line",AB23&lt;&gt;"match",COUNTIFS($A$2:$A$500,"coverage",$B$2:$B$500,B23,$C$2:$C$500,C23,$D$2:$D$500,"invoice")&gt;0),MAX($AC$1:AC22)+1,"")</f>
        <v/>
      </c>
      <c r="AD23" s="2">
        <f>IF(A23&lt;&gt;"line","",IF(O23="UNMAPPED","no mapping rule",IF(P23="L","low confidence","")))</f>
        <v/>
      </c>
      <c r="AE23" s="2">
        <f>IF(AD23&lt;&gt;"",MAX($AE$1:AE22)+1,"")</f>
        <v/>
      </c>
      <c r="AF23" s="2">
        <f>IF(A23="coverage",MAX($AF$1:AF22)+1,"")</f>
        <v/>
      </c>
      <c r="AG23" s="2">
        <f>IF(A23="line",IF(COUNTIFS($B$1:B22,B23,$C$1:C22,C23,$A$1:A22,"line")=0,MAX($AG$1:AG22)+1,""),"")</f>
        <v/>
      </c>
    </row>
    <row r="24">
      <c r="A24" s="6" t="inlineStr">
        <is>
          <t>total</t>
        </is>
      </c>
      <c r="B24" s="6" t="inlineStr">
        <is>
          <t>Project Alpha</t>
        </is>
      </c>
      <c r="C24" s="6" t="inlineStr">
        <is>
          <t>Vendor A</t>
        </is>
      </c>
      <c r="D24" s="6" t="inlineStr">
        <is>
          <t>invoice</t>
        </is>
      </c>
      <c r="E24" s="6" t="inlineStr">
        <is>
          <t>INV-2001</t>
        </is>
      </c>
      <c r="F24" s="6" t="inlineStr">
        <is>
          <t>2026-07-15</t>
        </is>
      </c>
      <c r="G24" s="6" t="inlineStr">
        <is>
          <t>Q-1001</t>
        </is>
      </c>
      <c r="H24" s="6" t="n">
        <v>2</v>
      </c>
      <c r="I24" s="6" t="n"/>
      <c r="J24" s="6" t="inlineStr">
        <is>
          <t>Product subtotal</t>
        </is>
      </c>
      <c r="K24" s="6" t="n"/>
      <c r="L24" s="6" t="n"/>
      <c r="M24" s="6" t="n"/>
      <c r="N24" s="8" t="n">
        <v>46000</v>
      </c>
      <c r="O24" s="6" t="inlineStr">
        <is>
          <t>PRODUCT</t>
        </is>
      </c>
      <c r="P24" s="6" t="inlineStr">
        <is>
          <t>H</t>
        </is>
      </c>
      <c r="Q24" s="6" t="n"/>
      <c r="R24" s="6" t="n"/>
      <c r="S24" s="6" t="n"/>
      <c r="T24" s="6" t="n"/>
      <c r="U24" s="6" t="n"/>
      <c r="V24" s="6" t="inlineStr">
        <is>
          <t>Project Alpha__Vendor A__invoice__INV-2001.pdf</t>
        </is>
      </c>
      <c r="W24" s="2">
        <f>IF(A24="line",IF(D24="quote",E24,G24)&amp;"|"&amp;LOWER(TRIM(K24)),"")</f>
        <v/>
      </c>
      <c r="X24" s="2">
        <f>IF(OR(O24="LABOUR",O24="INSTALL"),"LABOUR_ALL",IF(O24="","",O24))</f>
        <v/>
      </c>
      <c r="Y24" s="9">
        <f>IF(AND(A24="line",D24="quote"),SUMIFS($N$2:$N$500,$W$2:$W$500,W24,$D$2:$D$500,"invoice",$A$2:$A$500,"line"),"")</f>
        <v/>
      </c>
      <c r="Z24" s="2">
        <f>IF(AND(A24="line",D24="quote"),COUNTIFS($W$2:$W$500,W24,$D$2:$D$500,"invoice",$A$2:$A$500,"line"),"")</f>
        <v/>
      </c>
      <c r="AA24" s="2">
        <f>IF(AND(A24="line",D24="invoice"),COUNTIFS($W$2:$W$500,W24,$D$2:$D$500,"quote",$A$2:$A$500,"line"),"")</f>
        <v/>
      </c>
      <c r="AB24" s="2">
        <f>IF(A24&lt;&gt;"line","",IF(D24="quote",IF(Z24=0,"quote only",IF(ABS(Y24-N24)&gt;Settings!$B$2,"amount differs","match")),IF(AA24=0,"invoice only","match")))</f>
        <v/>
      </c>
      <c r="AC24" s="2">
        <f>IF(AND(A24="line",AB24&lt;&gt;"match",COUNTIFS($A$2:$A$500,"coverage",$B$2:$B$500,B24,$C$2:$C$500,C24,$D$2:$D$500,"invoice")&gt;0),MAX($AC$1:AC23)+1,"")</f>
        <v/>
      </c>
      <c r="AD24" s="2">
        <f>IF(A24&lt;&gt;"line","",IF(O24="UNMAPPED","no mapping rule",IF(P24="L","low confidence","")))</f>
        <v/>
      </c>
      <c r="AE24" s="2">
        <f>IF(AD24&lt;&gt;"",MAX($AE$1:AE23)+1,"")</f>
        <v/>
      </c>
      <c r="AF24" s="2">
        <f>IF(A24="coverage",MAX($AF$1:AF23)+1,"")</f>
        <v/>
      </c>
      <c r="AG24" s="2">
        <f>IF(A24="line",IF(COUNTIFS($B$1:B23,B24,$C$1:C23,C24,$A$1:A23,"line")=0,MAX($AG$1:AG23)+1,""),"")</f>
        <v/>
      </c>
    </row>
    <row r="25">
      <c r="A25" s="6" t="inlineStr">
        <is>
          <t>total</t>
        </is>
      </c>
      <c r="B25" s="6" t="inlineStr">
        <is>
          <t>Project Alpha</t>
        </is>
      </c>
      <c r="C25" s="6" t="inlineStr">
        <is>
          <t>Vendor A</t>
        </is>
      </c>
      <c r="D25" s="6" t="inlineStr">
        <is>
          <t>invoice</t>
        </is>
      </c>
      <c r="E25" s="6" t="inlineStr">
        <is>
          <t>INV-2001</t>
        </is>
      </c>
      <c r="F25" s="6" t="inlineStr">
        <is>
          <t>2026-07-15</t>
        </is>
      </c>
      <c r="G25" s="6" t="inlineStr">
        <is>
          <t>Q-1001</t>
        </is>
      </c>
      <c r="H25" s="6" t="n">
        <v>2</v>
      </c>
      <c r="I25" s="6" t="n"/>
      <c r="J25" s="6" t="inlineStr">
        <is>
          <t>Installation</t>
        </is>
      </c>
      <c r="K25" s="6" t="n"/>
      <c r="L25" s="6" t="n"/>
      <c r="M25" s="6" t="n"/>
      <c r="N25" s="8" t="n">
        <v>12640</v>
      </c>
      <c r="O25" s="6" t="inlineStr">
        <is>
          <t>INSTALL</t>
        </is>
      </c>
      <c r="P25" s="6" t="inlineStr">
        <is>
          <t>H</t>
        </is>
      </c>
      <c r="Q25" s="6" t="n"/>
      <c r="R25" s="6" t="n"/>
      <c r="S25" s="6" t="n"/>
      <c r="T25" s="6" t="n"/>
      <c r="U25" s="6" t="n"/>
      <c r="V25" s="6" t="inlineStr">
        <is>
          <t>Project Alpha__Vendor A__invoice__INV-2001.pdf</t>
        </is>
      </c>
      <c r="W25" s="2">
        <f>IF(A25="line",IF(D25="quote",E25,G25)&amp;"|"&amp;LOWER(TRIM(K25)),"")</f>
        <v/>
      </c>
      <c r="X25" s="2">
        <f>IF(OR(O25="LABOUR",O25="INSTALL"),"LABOUR_ALL",IF(O25="","",O25))</f>
        <v/>
      </c>
      <c r="Y25" s="9">
        <f>IF(AND(A25="line",D25="quote"),SUMIFS($N$2:$N$500,$W$2:$W$500,W25,$D$2:$D$500,"invoice",$A$2:$A$500,"line"),"")</f>
        <v/>
      </c>
      <c r="Z25" s="2">
        <f>IF(AND(A25="line",D25="quote"),COUNTIFS($W$2:$W$500,W25,$D$2:$D$500,"invoice",$A$2:$A$500,"line"),"")</f>
        <v/>
      </c>
      <c r="AA25" s="2">
        <f>IF(AND(A25="line",D25="invoice"),COUNTIFS($W$2:$W$500,W25,$D$2:$D$500,"quote",$A$2:$A$500,"line"),"")</f>
        <v/>
      </c>
      <c r="AB25" s="2">
        <f>IF(A25&lt;&gt;"line","",IF(D25="quote",IF(Z25=0,"quote only",IF(ABS(Y25-N25)&gt;Settings!$B$2,"amount differs","match")),IF(AA25=0,"invoice only","match")))</f>
        <v/>
      </c>
      <c r="AC25" s="2">
        <f>IF(AND(A25="line",AB25&lt;&gt;"match",COUNTIFS($A$2:$A$500,"coverage",$B$2:$B$500,B25,$C$2:$C$500,C25,$D$2:$D$500,"invoice")&gt;0),MAX($AC$1:AC24)+1,"")</f>
        <v/>
      </c>
      <c r="AD25" s="2">
        <f>IF(A25&lt;&gt;"line","",IF(O25="UNMAPPED","no mapping rule",IF(P25="L","low confidence","")))</f>
        <v/>
      </c>
      <c r="AE25" s="2">
        <f>IF(AD25&lt;&gt;"",MAX($AE$1:AE24)+1,"")</f>
        <v/>
      </c>
      <c r="AF25" s="2">
        <f>IF(A25="coverage",MAX($AF$1:AF24)+1,"")</f>
        <v/>
      </c>
      <c r="AG25" s="2">
        <f>IF(A25="line",IF(COUNTIFS($B$1:B24,B25,$C$1:C24,C25,$A$1:A24,"line")=0,MAX($AG$1:AG24)+1,""),"")</f>
        <v/>
      </c>
    </row>
    <row r="26">
      <c r="A26" s="6" t="inlineStr">
        <is>
          <t>total</t>
        </is>
      </c>
      <c r="B26" s="6" t="inlineStr">
        <is>
          <t>Project Alpha</t>
        </is>
      </c>
      <c r="C26" s="6" t="inlineStr">
        <is>
          <t>Vendor A</t>
        </is>
      </c>
      <c r="D26" s="6" t="inlineStr">
        <is>
          <t>invoice</t>
        </is>
      </c>
      <c r="E26" s="6" t="inlineStr">
        <is>
          <t>INV-2001</t>
        </is>
      </c>
      <c r="F26" s="6" t="inlineStr">
        <is>
          <t>2026-07-15</t>
        </is>
      </c>
      <c r="G26" s="6" t="inlineStr">
        <is>
          <t>Q-1001</t>
        </is>
      </c>
      <c r="H26" s="6" t="n">
        <v>2</v>
      </c>
      <c r="I26" s="6" t="n"/>
      <c r="J26" s="6" t="inlineStr">
        <is>
          <t>Services subtotal</t>
        </is>
      </c>
      <c r="K26" s="6" t="n"/>
      <c r="L26" s="6" t="n"/>
      <c r="M26" s="6" t="n"/>
      <c r="N26" s="8" t="n">
        <v>4500</v>
      </c>
      <c r="O26" s="6" t="inlineStr">
        <is>
          <t>LABOUR</t>
        </is>
      </c>
      <c r="P26" s="6" t="inlineStr">
        <is>
          <t>H</t>
        </is>
      </c>
      <c r="Q26" s="6" t="n"/>
      <c r="R26" s="6" t="n"/>
      <c r="S26" s="6" t="n"/>
      <c r="T26" s="6" t="n"/>
      <c r="U26" s="6" t="n"/>
      <c r="V26" s="6" t="inlineStr">
        <is>
          <t>Project Alpha__Vendor A__invoice__INV-2001.pdf</t>
        </is>
      </c>
      <c r="W26" s="2">
        <f>IF(A26="line",IF(D26="quote",E26,G26)&amp;"|"&amp;LOWER(TRIM(K26)),"")</f>
        <v/>
      </c>
      <c r="X26" s="2">
        <f>IF(OR(O26="LABOUR",O26="INSTALL"),"LABOUR_ALL",IF(O26="","",O26))</f>
        <v/>
      </c>
      <c r="Y26" s="9">
        <f>IF(AND(A26="line",D26="quote"),SUMIFS($N$2:$N$500,$W$2:$W$500,W26,$D$2:$D$500,"invoice",$A$2:$A$500,"line"),"")</f>
        <v/>
      </c>
      <c r="Z26" s="2">
        <f>IF(AND(A26="line",D26="quote"),COUNTIFS($W$2:$W$500,W26,$D$2:$D$500,"invoice",$A$2:$A$500,"line"),"")</f>
        <v/>
      </c>
      <c r="AA26" s="2">
        <f>IF(AND(A26="line",D26="invoice"),COUNTIFS($W$2:$W$500,W26,$D$2:$D$500,"quote",$A$2:$A$500,"line"),"")</f>
        <v/>
      </c>
      <c r="AB26" s="2">
        <f>IF(A26&lt;&gt;"line","",IF(D26="quote",IF(Z26=0,"quote only",IF(ABS(Y26-N26)&gt;Settings!$B$2,"amount differs","match")),IF(AA26=0,"invoice only","match")))</f>
        <v/>
      </c>
      <c r="AC26" s="2">
        <f>IF(AND(A26="line",AB26&lt;&gt;"match",COUNTIFS($A$2:$A$500,"coverage",$B$2:$B$500,B26,$C$2:$C$500,C26,$D$2:$D$500,"invoice")&gt;0),MAX($AC$1:AC25)+1,"")</f>
        <v/>
      </c>
      <c r="AD26" s="2">
        <f>IF(A26&lt;&gt;"line","",IF(O26="UNMAPPED","no mapping rule",IF(P26="L","low confidence","")))</f>
        <v/>
      </c>
      <c r="AE26" s="2">
        <f>IF(AD26&lt;&gt;"",MAX($AE$1:AE25)+1,"")</f>
        <v/>
      </c>
      <c r="AF26" s="2">
        <f>IF(A26="coverage",MAX($AF$1:AF25)+1,"")</f>
        <v/>
      </c>
      <c r="AG26" s="2">
        <f>IF(A26="line",IF(COUNTIFS($B$1:B25,B26,$C$1:C25,C26,$A$1:A25,"line")=0,MAX($AG$1:AG25)+1,""),"")</f>
        <v/>
      </c>
    </row>
    <row r="27">
      <c r="A27" s="6" t="inlineStr">
        <is>
          <t>total</t>
        </is>
      </c>
      <c r="B27" s="6" t="inlineStr">
        <is>
          <t>Project Alpha</t>
        </is>
      </c>
      <c r="C27" s="6" t="inlineStr">
        <is>
          <t>Vendor A</t>
        </is>
      </c>
      <c r="D27" s="6" t="inlineStr">
        <is>
          <t>invoice</t>
        </is>
      </c>
      <c r="E27" s="6" t="inlineStr">
        <is>
          <t>INV-2001</t>
        </is>
      </c>
      <c r="F27" s="6" t="inlineStr">
        <is>
          <t>2026-07-15</t>
        </is>
      </c>
      <c r="G27" s="6" t="inlineStr">
        <is>
          <t>Q-1001</t>
        </is>
      </c>
      <c r="H27" s="6" t="n">
        <v>2</v>
      </c>
      <c r="I27" s="6" t="n"/>
      <c r="J27" s="6" t="inlineStr">
        <is>
          <t>Grand total</t>
        </is>
      </c>
      <c r="K27" s="6" t="n"/>
      <c r="L27" s="6" t="n"/>
      <c r="M27" s="6" t="n"/>
      <c r="N27" s="8" t="n">
        <v>67470</v>
      </c>
      <c r="O27" s="6" t="inlineStr">
        <is>
          <t>GRAND</t>
        </is>
      </c>
      <c r="P27" s="6" t="inlineStr">
        <is>
          <t>H</t>
        </is>
      </c>
      <c r="Q27" s="6" t="n"/>
      <c r="R27" s="6" t="n"/>
      <c r="S27" s="6" t="n"/>
      <c r="T27" s="6" t="n"/>
      <c r="U27" s="6" t="n"/>
      <c r="V27" s="6" t="inlineStr">
        <is>
          <t>Project Alpha__Vendor A__invoice__INV-2001.pdf</t>
        </is>
      </c>
      <c r="W27" s="2">
        <f>IF(A27="line",IF(D27="quote",E27,G27)&amp;"|"&amp;LOWER(TRIM(K27)),"")</f>
        <v/>
      </c>
      <c r="X27" s="2">
        <f>IF(OR(O27="LABOUR",O27="INSTALL"),"LABOUR_ALL",IF(O27="","",O27))</f>
        <v/>
      </c>
      <c r="Y27" s="9">
        <f>IF(AND(A27="line",D27="quote"),SUMIFS($N$2:$N$500,$W$2:$W$500,W27,$D$2:$D$500,"invoice",$A$2:$A$500,"line"),"")</f>
        <v/>
      </c>
      <c r="Z27" s="2">
        <f>IF(AND(A27="line",D27="quote"),COUNTIFS($W$2:$W$500,W27,$D$2:$D$500,"invoice",$A$2:$A$500,"line"),"")</f>
        <v/>
      </c>
      <c r="AA27" s="2">
        <f>IF(AND(A27="line",D27="invoice"),COUNTIFS($W$2:$W$500,W27,$D$2:$D$500,"quote",$A$2:$A$500,"line"),"")</f>
        <v/>
      </c>
      <c r="AB27" s="2">
        <f>IF(A27&lt;&gt;"line","",IF(D27="quote",IF(Z27=0,"quote only",IF(ABS(Y27-N27)&gt;Settings!$B$2,"amount differs","match")),IF(AA27=0,"invoice only","match")))</f>
        <v/>
      </c>
      <c r="AC27" s="2">
        <f>IF(AND(A27="line",AB27&lt;&gt;"match",COUNTIFS($A$2:$A$500,"coverage",$B$2:$B$500,B27,$C$2:$C$500,C27,$D$2:$D$500,"invoice")&gt;0),MAX($AC$1:AC26)+1,"")</f>
        <v/>
      </c>
      <c r="AD27" s="2">
        <f>IF(A27&lt;&gt;"line","",IF(O27="UNMAPPED","no mapping rule",IF(P27="L","low confidence","")))</f>
        <v/>
      </c>
      <c r="AE27" s="2">
        <f>IF(AD27&lt;&gt;"",MAX($AE$1:AE26)+1,"")</f>
        <v/>
      </c>
      <c r="AF27" s="2">
        <f>IF(A27="coverage",MAX($AF$1:AF26)+1,"")</f>
        <v/>
      </c>
      <c r="AG27" s="2">
        <f>IF(A27="line",IF(COUNTIFS($B$1:B26,B27,$C$1:C26,C27,$A$1:A26,"line")=0,MAX($AG$1:AG26)+1,""),"")</f>
        <v/>
      </c>
    </row>
    <row r="28">
      <c r="A28" s="6" t="inlineStr">
        <is>
          <t>coverage</t>
        </is>
      </c>
      <c r="B28" s="6" t="inlineStr">
        <is>
          <t>Project Alpha</t>
        </is>
      </c>
      <c r="C28" s="6" t="inlineStr">
        <is>
          <t>Vendor A</t>
        </is>
      </c>
      <c r="D28" s="6" t="inlineStr">
        <is>
          <t>invoice</t>
        </is>
      </c>
      <c r="E28" s="6" t="inlineStr">
        <is>
          <t>INV-2001</t>
        </is>
      </c>
      <c r="F28" s="6" t="inlineStr">
        <is>
          <t>2026-07-15</t>
        </is>
      </c>
      <c r="G28" s="6" t="inlineStr">
        <is>
          <t>Q-1001</t>
        </is>
      </c>
      <c r="H28" s="6" t="n"/>
      <c r="I28" s="6" t="n"/>
      <c r="J28" s="6" t="n"/>
      <c r="K28" s="6" t="n"/>
      <c r="L28" s="6" t="n"/>
      <c r="M28" s="6" t="n"/>
      <c r="N28" s="6" t="n"/>
      <c r="O28" s="6" t="n"/>
      <c r="P28" s="6" t="n"/>
      <c r="Q28" s="6" t="n"/>
      <c r="R28" s="6" t="n">
        <v>2</v>
      </c>
      <c r="S28" s="6" t="inlineStr">
        <is>
          <t>1-2</t>
        </is>
      </c>
      <c r="T28" s="6" t="inlineStr">
        <is>
          <t>native</t>
        </is>
      </c>
      <c r="U28" s="6" t="inlineStr">
        <is>
          <t>Y</t>
        </is>
      </c>
      <c r="V28" s="6" t="inlineStr">
        <is>
          <t>Project Alpha__Vendor A__invoice__INV-2001.pdf</t>
        </is>
      </c>
      <c r="W28" s="2">
        <f>IF(A28="line",IF(D28="quote",E28,G28)&amp;"|"&amp;LOWER(TRIM(K28)),"")</f>
        <v/>
      </c>
      <c r="X28" s="2">
        <f>IF(OR(O28="LABOUR",O28="INSTALL"),"LABOUR_ALL",IF(O28="","",O28))</f>
        <v/>
      </c>
      <c r="Y28" s="9">
        <f>IF(AND(A28="line",D28="quote"),SUMIFS($N$2:$N$500,$W$2:$W$500,W28,$D$2:$D$500,"invoice",$A$2:$A$500,"line"),"")</f>
        <v/>
      </c>
      <c r="Z28" s="2">
        <f>IF(AND(A28="line",D28="quote"),COUNTIFS($W$2:$W$500,W28,$D$2:$D$500,"invoice",$A$2:$A$500,"line"),"")</f>
        <v/>
      </c>
      <c r="AA28" s="2">
        <f>IF(AND(A28="line",D28="invoice"),COUNTIFS($W$2:$W$500,W28,$D$2:$D$500,"quote",$A$2:$A$500,"line"),"")</f>
        <v/>
      </c>
      <c r="AB28" s="2">
        <f>IF(A28&lt;&gt;"line","",IF(D28="quote",IF(Z28=0,"quote only",IF(ABS(Y28-N28)&gt;Settings!$B$2,"amount differs","match")),IF(AA28=0,"invoice only","match")))</f>
        <v/>
      </c>
      <c r="AC28" s="2">
        <f>IF(AND(A28="line",AB28&lt;&gt;"match",COUNTIFS($A$2:$A$500,"coverage",$B$2:$B$500,B28,$C$2:$C$500,C28,$D$2:$D$500,"invoice")&gt;0),MAX($AC$1:AC27)+1,"")</f>
        <v/>
      </c>
      <c r="AD28" s="2">
        <f>IF(A28&lt;&gt;"line","",IF(O28="UNMAPPED","no mapping rule",IF(P28="L","low confidence","")))</f>
        <v/>
      </c>
      <c r="AE28" s="2">
        <f>IF(AD28&lt;&gt;"",MAX($AE$1:AE27)+1,"")</f>
        <v/>
      </c>
      <c r="AF28" s="2">
        <f>IF(A28="coverage",MAX($AF$1:AF27)+1,"")</f>
        <v/>
      </c>
      <c r="AG28" s="2">
        <f>IF(A28="line",IF(COUNTIFS($B$1:B27,B28,$C$1:C27,C28,$A$1:A27,"line")=0,MAX($AG$1:AG27)+1,""),"")</f>
        <v/>
      </c>
    </row>
    <row r="29">
      <c r="A29" s="6" t="inlineStr">
        <is>
          <t>line</t>
        </is>
      </c>
      <c r="B29" s="6" t="inlineStr">
        <is>
          <t>Project Alpha</t>
        </is>
      </c>
      <c r="C29" s="6" t="inlineStr">
        <is>
          <t>Vendor B</t>
        </is>
      </c>
      <c r="D29" s="6" t="inlineStr">
        <is>
          <t>quote</t>
        </is>
      </c>
      <c r="E29" s="6" t="inlineStr">
        <is>
          <t>Q-1002</t>
        </is>
      </c>
      <c r="F29" s="6" t="inlineStr">
        <is>
          <t>2026-05-10</t>
        </is>
      </c>
      <c r="G29" s="6" t="n"/>
      <c r="H29" s="6" t="n">
        <v>1</v>
      </c>
      <c r="I29" s="6" t="n">
        <v>1</v>
      </c>
      <c r="J29" s="6" t="inlineStr">
        <is>
          <t>Meeting table MT-3200</t>
        </is>
      </c>
      <c r="K29" s="6" t="inlineStr">
        <is>
          <t>Meeting table 3200</t>
        </is>
      </c>
      <c r="L29" s="7" t="n">
        <v>4</v>
      </c>
      <c r="M29" s="8" t="n">
        <v>2900</v>
      </c>
      <c r="N29" s="8" t="n">
        <v>11600</v>
      </c>
      <c r="O29" s="6" t="inlineStr">
        <is>
          <t>PRODUCT</t>
        </is>
      </c>
      <c r="P29" s="6" t="inlineStr">
        <is>
          <t>H</t>
        </is>
      </c>
      <c r="Q29" s="6" t="n"/>
      <c r="R29" s="6" t="n"/>
      <c r="S29" s="6" t="n"/>
      <c r="T29" s="6" t="n"/>
      <c r="U29" s="6" t="n"/>
      <c r="V29" s="6" t="inlineStr">
        <is>
          <t>Project Alpha__Vendor B__quote__Q-1002.pdf</t>
        </is>
      </c>
      <c r="W29" s="2">
        <f>IF(A29="line",IF(D29="quote",E29,G29)&amp;"|"&amp;LOWER(TRIM(K29)),"")</f>
        <v/>
      </c>
      <c r="X29" s="2">
        <f>IF(OR(O29="LABOUR",O29="INSTALL"),"LABOUR_ALL",IF(O29="","",O29))</f>
        <v/>
      </c>
      <c r="Y29" s="9">
        <f>IF(AND(A29="line",D29="quote"),SUMIFS($N$2:$N$500,$W$2:$W$500,W29,$D$2:$D$500,"invoice",$A$2:$A$500,"line"),"")</f>
        <v/>
      </c>
      <c r="Z29" s="2">
        <f>IF(AND(A29="line",D29="quote"),COUNTIFS($W$2:$W$500,W29,$D$2:$D$500,"invoice",$A$2:$A$500,"line"),"")</f>
        <v/>
      </c>
      <c r="AA29" s="2">
        <f>IF(AND(A29="line",D29="invoice"),COUNTIFS($W$2:$W$500,W29,$D$2:$D$500,"quote",$A$2:$A$500,"line"),"")</f>
        <v/>
      </c>
      <c r="AB29" s="2">
        <f>IF(A29&lt;&gt;"line","",IF(D29="quote",IF(Z29=0,"quote only",IF(ABS(Y29-N29)&gt;Settings!$B$2,"amount differs","match")),IF(AA29=0,"invoice only","match")))</f>
        <v/>
      </c>
      <c r="AC29" s="2">
        <f>IF(AND(A29="line",AB29&lt;&gt;"match",COUNTIFS($A$2:$A$500,"coverage",$B$2:$B$500,B29,$C$2:$C$500,C29,$D$2:$D$500,"invoice")&gt;0),MAX($AC$1:AC28)+1,"")</f>
        <v/>
      </c>
      <c r="AD29" s="2">
        <f>IF(A29&lt;&gt;"line","",IF(O29="UNMAPPED","no mapping rule",IF(P29="L","low confidence","")))</f>
        <v/>
      </c>
      <c r="AE29" s="2">
        <f>IF(AD29&lt;&gt;"",MAX($AE$1:AE28)+1,"")</f>
        <v/>
      </c>
      <c r="AF29" s="2">
        <f>IF(A29="coverage",MAX($AF$1:AF28)+1,"")</f>
        <v/>
      </c>
      <c r="AG29" s="2">
        <f>IF(A29="line",IF(COUNTIFS($B$1:B28,B29,$C$1:C28,C29,$A$1:A28,"line")=0,MAX($AG$1:AG28)+1,""),"")</f>
        <v/>
      </c>
    </row>
    <row r="30">
      <c r="A30" s="6" t="inlineStr">
        <is>
          <t>line</t>
        </is>
      </c>
      <c r="B30" s="6" t="inlineStr">
        <is>
          <t>Project Alpha</t>
        </is>
      </c>
      <c r="C30" s="6" t="inlineStr">
        <is>
          <t>Vendor B</t>
        </is>
      </c>
      <c r="D30" s="6" t="inlineStr">
        <is>
          <t>quote</t>
        </is>
      </c>
      <c r="E30" s="6" t="inlineStr">
        <is>
          <t>Q-1002</t>
        </is>
      </c>
      <c r="F30" s="6" t="inlineStr">
        <is>
          <t>2026-05-10</t>
        </is>
      </c>
      <c r="G30" s="6" t="n"/>
      <c r="H30" s="6" t="n">
        <v>2</v>
      </c>
      <c r="I30" s="6" t="n">
        <v>2</v>
      </c>
      <c r="J30" s="6" t="inlineStr">
        <is>
          <t>Conference chair</t>
        </is>
      </c>
      <c r="K30" s="6" t="inlineStr">
        <is>
          <t>Conference chair</t>
        </is>
      </c>
      <c r="L30" s="7" t="n">
        <v>32</v>
      </c>
      <c r="M30" s="8" t="n">
        <v>410</v>
      </c>
      <c r="N30" s="8" t="n">
        <v>13120</v>
      </c>
      <c r="O30" s="6" t="inlineStr">
        <is>
          <t>PRODUCT</t>
        </is>
      </c>
      <c r="P30" s="6" t="inlineStr">
        <is>
          <t>M</t>
        </is>
      </c>
      <c r="Q30" s="6" t="inlineStr">
        <is>
          <t>scan, figure clear</t>
        </is>
      </c>
      <c r="R30" s="6" t="n"/>
      <c r="S30" s="6" t="n"/>
      <c r="T30" s="6" t="n"/>
      <c r="U30" s="6" t="n"/>
      <c r="V30" s="6" t="inlineStr">
        <is>
          <t>Project Alpha__Vendor B__quote__Q-1002.pdf</t>
        </is>
      </c>
      <c r="W30" s="2">
        <f>IF(A30="line",IF(D30="quote",E30,G30)&amp;"|"&amp;LOWER(TRIM(K30)),"")</f>
        <v/>
      </c>
      <c r="X30" s="2">
        <f>IF(OR(O30="LABOUR",O30="INSTALL"),"LABOUR_ALL",IF(O30="","",O30))</f>
        <v/>
      </c>
      <c r="Y30" s="9">
        <f>IF(AND(A30="line",D30="quote"),SUMIFS($N$2:$N$500,$W$2:$W$500,W30,$D$2:$D$500,"invoice",$A$2:$A$500,"line"),"")</f>
        <v/>
      </c>
      <c r="Z30" s="2">
        <f>IF(AND(A30="line",D30="quote"),COUNTIFS($W$2:$W$500,W30,$D$2:$D$500,"invoice",$A$2:$A$500,"line"),"")</f>
        <v/>
      </c>
      <c r="AA30" s="2">
        <f>IF(AND(A30="line",D30="invoice"),COUNTIFS($W$2:$W$500,W30,$D$2:$D$500,"quote",$A$2:$A$500,"line"),"")</f>
        <v/>
      </c>
      <c r="AB30" s="2">
        <f>IF(A30&lt;&gt;"line","",IF(D30="quote",IF(Z30=0,"quote only",IF(ABS(Y30-N30)&gt;Settings!$B$2,"amount differs","match")),IF(AA30=0,"invoice only","match")))</f>
        <v/>
      </c>
      <c r="AC30" s="2">
        <f>IF(AND(A30="line",AB30&lt;&gt;"match",COUNTIFS($A$2:$A$500,"coverage",$B$2:$B$500,B30,$C$2:$C$500,C30,$D$2:$D$500,"invoice")&gt;0),MAX($AC$1:AC29)+1,"")</f>
        <v/>
      </c>
      <c r="AD30" s="2">
        <f>IF(A30&lt;&gt;"line","",IF(O30="UNMAPPED","no mapping rule",IF(P30="L","low confidence","")))</f>
        <v/>
      </c>
      <c r="AE30" s="2">
        <f>IF(AD30&lt;&gt;"",MAX($AE$1:AE29)+1,"")</f>
        <v/>
      </c>
      <c r="AF30" s="2">
        <f>IF(A30="coverage",MAX($AF$1:AF29)+1,"")</f>
        <v/>
      </c>
      <c r="AG30" s="2">
        <f>IF(A30="line",IF(COUNTIFS($B$1:B29,B30,$C$1:C29,C30,$A$1:A29,"line")=0,MAX($AG$1:AG29)+1,""),"")</f>
        <v/>
      </c>
    </row>
    <row r="31">
      <c r="A31" s="6" t="inlineStr">
        <is>
          <t>line</t>
        </is>
      </c>
      <c r="B31" s="6" t="inlineStr">
        <is>
          <t>Project Alpha</t>
        </is>
      </c>
      <c r="C31" s="6" t="inlineStr">
        <is>
          <t>Vendor B</t>
        </is>
      </c>
      <c r="D31" s="6" t="inlineStr">
        <is>
          <t>quote</t>
        </is>
      </c>
      <c r="E31" s="6" t="inlineStr">
        <is>
          <t>Q-1002</t>
        </is>
      </c>
      <c r="F31" s="6" t="inlineStr">
        <is>
          <t>2026-05-10</t>
        </is>
      </c>
      <c r="G31" s="6" t="n"/>
      <c r="H31" s="6" t="n">
        <v>2</v>
      </c>
      <c r="I31" s="6" t="n">
        <v>3</v>
      </c>
      <c r="J31" s="6" t="inlineStr">
        <is>
          <t>Credenza</t>
        </is>
      </c>
      <c r="K31" s="6" t="inlineStr">
        <is>
          <t>Credenza</t>
        </is>
      </c>
      <c r="L31" s="7" t="n">
        <v>4</v>
      </c>
      <c r="M31" s="8" t="n">
        <v>1450</v>
      </c>
      <c r="N31" s="8" t="n">
        <v>5800</v>
      </c>
      <c r="O31" s="6" t="inlineStr">
        <is>
          <t>PRODUCT</t>
        </is>
      </c>
      <c r="P31" s="6" t="inlineStr">
        <is>
          <t>L</t>
        </is>
      </c>
      <c r="Q31" s="6" t="inlineStr">
        <is>
          <t>figure partly legible</t>
        </is>
      </c>
      <c r="R31" s="6" t="n"/>
      <c r="S31" s="6" t="n"/>
      <c r="T31" s="6" t="n"/>
      <c r="U31" s="6" t="n"/>
      <c r="V31" s="6" t="inlineStr">
        <is>
          <t>Project Alpha__Vendor B__quote__Q-1002.pdf</t>
        </is>
      </c>
      <c r="W31" s="2">
        <f>IF(A31="line",IF(D31="quote",E31,G31)&amp;"|"&amp;LOWER(TRIM(K31)),"")</f>
        <v/>
      </c>
      <c r="X31" s="2">
        <f>IF(OR(O31="LABOUR",O31="INSTALL"),"LABOUR_ALL",IF(O31="","",O31))</f>
        <v/>
      </c>
      <c r="Y31" s="9">
        <f>IF(AND(A31="line",D31="quote"),SUMIFS($N$2:$N$500,$W$2:$W$500,W31,$D$2:$D$500,"invoice",$A$2:$A$500,"line"),"")</f>
        <v/>
      </c>
      <c r="Z31" s="2">
        <f>IF(AND(A31="line",D31="quote"),COUNTIFS($W$2:$W$500,W31,$D$2:$D$500,"invoice",$A$2:$A$500,"line"),"")</f>
        <v/>
      </c>
      <c r="AA31" s="2">
        <f>IF(AND(A31="line",D31="invoice"),COUNTIFS($W$2:$W$500,W31,$D$2:$D$500,"quote",$A$2:$A$500,"line"),"")</f>
        <v/>
      </c>
      <c r="AB31" s="2">
        <f>IF(A31&lt;&gt;"line","",IF(D31="quote",IF(Z31=0,"quote only",IF(ABS(Y31-N31)&gt;Settings!$B$2,"amount differs","match")),IF(AA31=0,"invoice only","match")))</f>
        <v/>
      </c>
      <c r="AC31" s="2">
        <f>IF(AND(A31="line",AB31&lt;&gt;"match",COUNTIFS($A$2:$A$500,"coverage",$B$2:$B$500,B31,$C$2:$C$500,C31,$D$2:$D$500,"invoice")&gt;0),MAX($AC$1:AC30)+1,"")</f>
        <v/>
      </c>
      <c r="AD31" s="2">
        <f>IF(A31&lt;&gt;"line","",IF(O31="UNMAPPED","no mapping rule",IF(P31="L","low confidence","")))</f>
        <v/>
      </c>
      <c r="AE31" s="2">
        <f>IF(AD31&lt;&gt;"",MAX($AE$1:AE30)+1,"")</f>
        <v/>
      </c>
      <c r="AF31" s="2">
        <f>IF(A31="coverage",MAX($AF$1:AF30)+1,"")</f>
        <v/>
      </c>
      <c r="AG31" s="2">
        <f>IF(A31="line",IF(COUNTIFS($B$1:B30,B31,$C$1:C30,C31,$A$1:A30,"line")=0,MAX($AG$1:AG30)+1,""),"")</f>
        <v/>
      </c>
    </row>
    <row r="32">
      <c r="A32" s="6" t="inlineStr">
        <is>
          <t>line</t>
        </is>
      </c>
      <c r="B32" s="6" t="inlineStr">
        <is>
          <t>Project Alpha</t>
        </is>
      </c>
      <c r="C32" s="6" t="inlineStr">
        <is>
          <t>Vendor B</t>
        </is>
      </c>
      <c r="D32" s="6" t="inlineStr">
        <is>
          <t>quote</t>
        </is>
      </c>
      <c r="E32" s="6" t="inlineStr">
        <is>
          <t>Q-1002</t>
        </is>
      </c>
      <c r="F32" s="6" t="inlineStr">
        <is>
          <t>2026-05-10</t>
        </is>
      </c>
      <c r="G32" s="6" t="n"/>
      <c r="H32" s="6" t="n">
        <v>3</v>
      </c>
      <c r="I32" s="6" t="n">
        <v>4</v>
      </c>
      <c r="J32" s="6" t="inlineStr">
        <is>
          <t>Labour</t>
        </is>
      </c>
      <c r="K32" s="6" t="inlineStr">
        <is>
          <t>Delivery and installation</t>
        </is>
      </c>
      <c r="L32" s="6" t="n"/>
      <c r="M32" s="6" t="n"/>
      <c r="N32" s="8" t="n">
        <v>4200</v>
      </c>
      <c r="O32" s="6" t="inlineStr">
        <is>
          <t>INSTALL</t>
        </is>
      </c>
      <c r="P32" s="6" t="inlineStr">
        <is>
          <t>M</t>
        </is>
      </c>
      <c r="Q32" s="6" t="inlineStr">
        <is>
          <t>matched by principle</t>
        </is>
      </c>
      <c r="R32" s="6" t="n"/>
      <c r="S32" s="6" t="n"/>
      <c r="T32" s="6" t="n"/>
      <c r="U32" s="6" t="n"/>
      <c r="V32" s="6" t="inlineStr">
        <is>
          <t>Project Alpha__Vendor B__quote__Q-1002.pdf</t>
        </is>
      </c>
      <c r="W32" s="2">
        <f>IF(A32="line",IF(D32="quote",E32,G32)&amp;"|"&amp;LOWER(TRIM(K32)),"")</f>
        <v/>
      </c>
      <c r="X32" s="2">
        <f>IF(OR(O32="LABOUR",O32="INSTALL"),"LABOUR_ALL",IF(O32="","",O32))</f>
        <v/>
      </c>
      <c r="Y32" s="9">
        <f>IF(AND(A32="line",D32="quote"),SUMIFS($N$2:$N$500,$W$2:$W$500,W32,$D$2:$D$500,"invoice",$A$2:$A$500,"line"),"")</f>
        <v/>
      </c>
      <c r="Z32" s="2">
        <f>IF(AND(A32="line",D32="quote"),COUNTIFS($W$2:$W$500,W32,$D$2:$D$500,"invoice",$A$2:$A$500,"line"),"")</f>
        <v/>
      </c>
      <c r="AA32" s="2">
        <f>IF(AND(A32="line",D32="invoice"),COUNTIFS($W$2:$W$500,W32,$D$2:$D$500,"quote",$A$2:$A$500,"line"),"")</f>
        <v/>
      </c>
      <c r="AB32" s="2">
        <f>IF(A32&lt;&gt;"line","",IF(D32="quote",IF(Z32=0,"quote only",IF(ABS(Y32-N32)&gt;Settings!$B$2,"amount differs","match")),IF(AA32=0,"invoice only","match")))</f>
        <v/>
      </c>
      <c r="AC32" s="2">
        <f>IF(AND(A32="line",AB32&lt;&gt;"match",COUNTIFS($A$2:$A$500,"coverage",$B$2:$B$500,B32,$C$2:$C$500,C32,$D$2:$D$500,"invoice")&gt;0),MAX($AC$1:AC31)+1,"")</f>
        <v/>
      </c>
      <c r="AD32" s="2">
        <f>IF(A32&lt;&gt;"line","",IF(O32="UNMAPPED","no mapping rule",IF(P32="L","low confidence","")))</f>
        <v/>
      </c>
      <c r="AE32" s="2">
        <f>IF(AD32&lt;&gt;"",MAX($AE$1:AE31)+1,"")</f>
        <v/>
      </c>
      <c r="AF32" s="2">
        <f>IF(A32="coverage",MAX($AF$1:AF31)+1,"")</f>
        <v/>
      </c>
      <c r="AG32" s="2">
        <f>IF(A32="line",IF(COUNTIFS($B$1:B31,B32,$C$1:C31,C32,$A$1:A31,"line")=0,MAX($AG$1:AG31)+1,""),"")</f>
        <v/>
      </c>
    </row>
    <row r="33">
      <c r="A33" s="6" t="inlineStr">
        <is>
          <t>total</t>
        </is>
      </c>
      <c r="B33" s="6" t="inlineStr">
        <is>
          <t>Project Alpha</t>
        </is>
      </c>
      <c r="C33" s="6" t="inlineStr">
        <is>
          <t>Vendor B</t>
        </is>
      </c>
      <c r="D33" s="6" t="inlineStr">
        <is>
          <t>quote</t>
        </is>
      </c>
      <c r="E33" s="6" t="inlineStr">
        <is>
          <t>Q-1002</t>
        </is>
      </c>
      <c r="F33" s="6" t="inlineStr">
        <is>
          <t>2026-05-10</t>
        </is>
      </c>
      <c r="G33" s="6" t="n"/>
      <c r="H33" s="6" t="n">
        <v>4</v>
      </c>
      <c r="I33" s="6" t="n"/>
      <c r="J33" s="6" t="inlineStr">
        <is>
          <t>Product subtotal</t>
        </is>
      </c>
      <c r="K33" s="6" t="n"/>
      <c r="L33" s="6" t="n"/>
      <c r="M33" s="6" t="n"/>
      <c r="N33" s="8" t="n">
        <v>30620</v>
      </c>
      <c r="O33" s="6" t="inlineStr">
        <is>
          <t>PRODUCT</t>
        </is>
      </c>
      <c r="P33" s="6" t="inlineStr">
        <is>
          <t>H</t>
        </is>
      </c>
      <c r="Q33" s="6" t="n"/>
      <c r="R33" s="6" t="n"/>
      <c r="S33" s="6" t="n"/>
      <c r="T33" s="6" t="n"/>
      <c r="U33" s="6" t="n"/>
      <c r="V33" s="6" t="inlineStr">
        <is>
          <t>Project Alpha__Vendor B__quote__Q-1002.pdf</t>
        </is>
      </c>
      <c r="W33" s="2">
        <f>IF(A33="line",IF(D33="quote",E33,G33)&amp;"|"&amp;LOWER(TRIM(K33)),"")</f>
        <v/>
      </c>
      <c r="X33" s="2">
        <f>IF(OR(O33="LABOUR",O33="INSTALL"),"LABOUR_ALL",IF(O33="","",O33))</f>
        <v/>
      </c>
      <c r="Y33" s="9">
        <f>IF(AND(A33="line",D33="quote"),SUMIFS($N$2:$N$500,$W$2:$W$500,W33,$D$2:$D$500,"invoice",$A$2:$A$500,"line"),"")</f>
        <v/>
      </c>
      <c r="Z33" s="2">
        <f>IF(AND(A33="line",D33="quote"),COUNTIFS($W$2:$W$500,W33,$D$2:$D$500,"invoice",$A$2:$A$500,"line"),"")</f>
        <v/>
      </c>
      <c r="AA33" s="2">
        <f>IF(AND(A33="line",D33="invoice"),COUNTIFS($W$2:$W$500,W33,$D$2:$D$500,"quote",$A$2:$A$500,"line"),"")</f>
        <v/>
      </c>
      <c r="AB33" s="2">
        <f>IF(A33&lt;&gt;"line","",IF(D33="quote",IF(Z33=0,"quote only",IF(ABS(Y33-N33)&gt;Settings!$B$2,"amount differs","match")),IF(AA33=0,"invoice only","match")))</f>
        <v/>
      </c>
      <c r="AC33" s="2">
        <f>IF(AND(A33="line",AB33&lt;&gt;"match",COUNTIFS($A$2:$A$500,"coverage",$B$2:$B$500,B33,$C$2:$C$500,C33,$D$2:$D$500,"invoice")&gt;0),MAX($AC$1:AC32)+1,"")</f>
        <v/>
      </c>
      <c r="AD33" s="2">
        <f>IF(A33&lt;&gt;"line","",IF(O33="UNMAPPED","no mapping rule",IF(P33="L","low confidence","")))</f>
        <v/>
      </c>
      <c r="AE33" s="2">
        <f>IF(AD33&lt;&gt;"",MAX($AE$1:AE32)+1,"")</f>
        <v/>
      </c>
      <c r="AF33" s="2">
        <f>IF(A33="coverage",MAX($AF$1:AF32)+1,"")</f>
        <v/>
      </c>
      <c r="AG33" s="2">
        <f>IF(A33="line",IF(COUNTIFS($B$1:B32,B33,$C$1:C32,C33,$A$1:A32,"line")=0,MAX($AG$1:AG32)+1,""),"")</f>
        <v/>
      </c>
    </row>
    <row r="34">
      <c r="A34" s="6" t="inlineStr">
        <is>
          <t>total</t>
        </is>
      </c>
      <c r="B34" s="6" t="inlineStr">
        <is>
          <t>Project Alpha</t>
        </is>
      </c>
      <c r="C34" s="6" t="inlineStr">
        <is>
          <t>Vendor B</t>
        </is>
      </c>
      <c r="D34" s="6" t="inlineStr">
        <is>
          <t>quote</t>
        </is>
      </c>
      <c r="E34" s="6" t="inlineStr">
        <is>
          <t>Q-1002</t>
        </is>
      </c>
      <c r="F34" s="6" t="inlineStr">
        <is>
          <t>2026-05-10</t>
        </is>
      </c>
      <c r="G34" s="6" t="n"/>
      <c r="H34" s="6" t="n">
        <v>4</v>
      </c>
      <c r="I34" s="6" t="n"/>
      <c r="J34" s="6" t="inlineStr">
        <is>
          <t>Grand total</t>
        </is>
      </c>
      <c r="K34" s="6" t="n"/>
      <c r="L34" s="6" t="n"/>
      <c r="M34" s="6" t="n"/>
      <c r="N34" s="8" t="n">
        <v>34820</v>
      </c>
      <c r="O34" s="6" t="inlineStr">
        <is>
          <t>GRAND</t>
        </is>
      </c>
      <c r="P34" s="6" t="inlineStr">
        <is>
          <t>H</t>
        </is>
      </c>
      <c r="Q34" s="6" t="n"/>
      <c r="R34" s="6" t="n"/>
      <c r="S34" s="6" t="n"/>
      <c r="T34" s="6" t="n"/>
      <c r="U34" s="6" t="n"/>
      <c r="V34" s="6" t="inlineStr">
        <is>
          <t>Project Alpha__Vendor B__quote__Q-1002.pdf</t>
        </is>
      </c>
      <c r="W34" s="2">
        <f>IF(A34="line",IF(D34="quote",E34,G34)&amp;"|"&amp;LOWER(TRIM(K34)),"")</f>
        <v/>
      </c>
      <c r="X34" s="2">
        <f>IF(OR(O34="LABOUR",O34="INSTALL"),"LABOUR_ALL",IF(O34="","",O34))</f>
        <v/>
      </c>
      <c r="Y34" s="9">
        <f>IF(AND(A34="line",D34="quote"),SUMIFS($N$2:$N$500,$W$2:$W$500,W34,$D$2:$D$500,"invoice",$A$2:$A$500,"line"),"")</f>
        <v/>
      </c>
      <c r="Z34" s="2">
        <f>IF(AND(A34="line",D34="quote"),COUNTIFS($W$2:$W$500,W34,$D$2:$D$500,"invoice",$A$2:$A$500,"line"),"")</f>
        <v/>
      </c>
      <c r="AA34" s="2">
        <f>IF(AND(A34="line",D34="invoice"),COUNTIFS($W$2:$W$500,W34,$D$2:$D$500,"quote",$A$2:$A$500,"line"),"")</f>
        <v/>
      </c>
      <c r="AB34" s="2">
        <f>IF(A34&lt;&gt;"line","",IF(D34="quote",IF(Z34=0,"quote only",IF(ABS(Y34-N34)&gt;Settings!$B$2,"amount differs","match")),IF(AA34=0,"invoice only","match")))</f>
        <v/>
      </c>
      <c r="AC34" s="2">
        <f>IF(AND(A34="line",AB34&lt;&gt;"match",COUNTIFS($A$2:$A$500,"coverage",$B$2:$B$500,B34,$C$2:$C$500,C34,$D$2:$D$500,"invoice")&gt;0),MAX($AC$1:AC33)+1,"")</f>
        <v/>
      </c>
      <c r="AD34" s="2">
        <f>IF(A34&lt;&gt;"line","",IF(O34="UNMAPPED","no mapping rule",IF(P34="L","low confidence","")))</f>
        <v/>
      </c>
      <c r="AE34" s="2">
        <f>IF(AD34&lt;&gt;"",MAX($AE$1:AE33)+1,"")</f>
        <v/>
      </c>
      <c r="AF34" s="2">
        <f>IF(A34="coverage",MAX($AF$1:AF33)+1,"")</f>
        <v/>
      </c>
      <c r="AG34" s="2">
        <f>IF(A34="line",IF(COUNTIFS($B$1:B33,B34,$C$1:C33,C34,$A$1:A33,"line")=0,MAX($AG$1:AG33)+1,""),"")</f>
        <v/>
      </c>
    </row>
    <row r="35">
      <c r="A35" s="6" t="inlineStr">
        <is>
          <t>coverage</t>
        </is>
      </c>
      <c r="B35" s="6" t="inlineStr">
        <is>
          <t>Project Alpha</t>
        </is>
      </c>
      <c r="C35" s="6" t="inlineStr">
        <is>
          <t>Vendor B</t>
        </is>
      </c>
      <c r="D35" s="6" t="inlineStr">
        <is>
          <t>quote</t>
        </is>
      </c>
      <c r="E35" s="6" t="inlineStr">
        <is>
          <t>Q-1002</t>
        </is>
      </c>
      <c r="F35" s="6" t="inlineStr">
        <is>
          <t>2026-05-10</t>
        </is>
      </c>
      <c r="G35" s="6" t="n"/>
      <c r="H35" s="6" t="n"/>
      <c r="I35" s="6" t="n"/>
      <c r="J35" s="6" t="n"/>
      <c r="K35" s="6" t="n"/>
      <c r="L35" s="6" t="n"/>
      <c r="M35" s="6" t="n"/>
      <c r="N35" s="6" t="n"/>
      <c r="O35" s="6" t="n"/>
      <c r="P35" s="6" t="n"/>
      <c r="Q35" s="6" t="inlineStr">
        <is>
          <t>page 5 illegible</t>
        </is>
      </c>
      <c r="R35" s="6" t="n">
        <v>5</v>
      </c>
      <c r="S35" s="6" t="inlineStr">
        <is>
          <t>1-4</t>
        </is>
      </c>
      <c r="T35" s="6" t="inlineStr">
        <is>
          <t>scan</t>
        </is>
      </c>
      <c r="U35" s="6" t="inlineStr">
        <is>
          <t>Y</t>
        </is>
      </c>
      <c r="V35" s="6" t="inlineStr">
        <is>
          <t>Project Alpha__Vendor B__quote__Q-1002.pdf</t>
        </is>
      </c>
      <c r="W35" s="2">
        <f>IF(A35="line",IF(D35="quote",E35,G35)&amp;"|"&amp;LOWER(TRIM(K35)),"")</f>
        <v/>
      </c>
      <c r="X35" s="2">
        <f>IF(OR(O35="LABOUR",O35="INSTALL"),"LABOUR_ALL",IF(O35="","",O35))</f>
        <v/>
      </c>
      <c r="Y35" s="9">
        <f>IF(AND(A35="line",D35="quote"),SUMIFS($N$2:$N$500,$W$2:$W$500,W35,$D$2:$D$500,"invoice",$A$2:$A$500,"line"),"")</f>
        <v/>
      </c>
      <c r="Z35" s="2">
        <f>IF(AND(A35="line",D35="quote"),COUNTIFS($W$2:$W$500,W35,$D$2:$D$500,"invoice",$A$2:$A$500,"line"),"")</f>
        <v/>
      </c>
      <c r="AA35" s="2">
        <f>IF(AND(A35="line",D35="invoice"),COUNTIFS($W$2:$W$500,W35,$D$2:$D$500,"quote",$A$2:$A$500,"line"),"")</f>
        <v/>
      </c>
      <c r="AB35" s="2">
        <f>IF(A35&lt;&gt;"line","",IF(D35="quote",IF(Z35=0,"quote only",IF(ABS(Y35-N35)&gt;Settings!$B$2,"amount differs","match")),IF(AA35=0,"invoice only","match")))</f>
        <v/>
      </c>
      <c r="AC35" s="2">
        <f>IF(AND(A35="line",AB35&lt;&gt;"match",COUNTIFS($A$2:$A$500,"coverage",$B$2:$B$500,B35,$C$2:$C$500,C35,$D$2:$D$500,"invoice")&gt;0),MAX($AC$1:AC34)+1,"")</f>
        <v/>
      </c>
      <c r="AD35" s="2">
        <f>IF(A35&lt;&gt;"line","",IF(O35="UNMAPPED","no mapping rule",IF(P35="L","low confidence","")))</f>
        <v/>
      </c>
      <c r="AE35" s="2">
        <f>IF(AD35&lt;&gt;"",MAX($AE$1:AE34)+1,"")</f>
        <v/>
      </c>
      <c r="AF35" s="2">
        <f>IF(A35="coverage",MAX($AF$1:AF34)+1,"")</f>
        <v/>
      </c>
      <c r="AG35" s="2">
        <f>IF(A35="line",IF(COUNTIFS($B$1:B34,B35,$C$1:C34,C35,$A$1:A34,"line")=0,MAX($AG$1:AG34)+1,""),"")</f>
        <v/>
      </c>
    </row>
    <row r="36">
      <c r="W36" s="2">
        <f>IF(A36="line",IF(D36="quote",E36,G36)&amp;"|"&amp;LOWER(TRIM(K36)),"")</f>
        <v/>
      </c>
      <c r="X36" s="2">
        <f>IF(OR(O36="LABOUR",O36="INSTALL"),"LABOUR_ALL",IF(O36="","",O36))</f>
        <v/>
      </c>
      <c r="Y36" s="9">
        <f>IF(AND(A36="line",D36="quote"),SUMIFS($N$2:$N$500,$W$2:$W$500,W36,$D$2:$D$500,"invoice",$A$2:$A$500,"line"),"")</f>
        <v/>
      </c>
      <c r="Z36" s="2">
        <f>IF(AND(A36="line",D36="quote"),COUNTIFS($W$2:$W$500,W36,$D$2:$D$500,"invoice",$A$2:$A$500,"line"),"")</f>
        <v/>
      </c>
      <c r="AA36" s="2">
        <f>IF(AND(A36="line",D36="invoice"),COUNTIFS($W$2:$W$500,W36,$D$2:$D$500,"quote",$A$2:$A$500,"line"),"")</f>
        <v/>
      </c>
      <c r="AB36" s="2">
        <f>IF(A36&lt;&gt;"line","",IF(D36="quote",IF(Z36=0,"quote only",IF(ABS(Y36-N36)&gt;Settings!$B$2,"amount differs","match")),IF(AA36=0,"invoice only","match")))</f>
        <v/>
      </c>
      <c r="AC36" s="2">
        <f>IF(AND(A36="line",AB36&lt;&gt;"match",COUNTIFS($A$2:$A$500,"coverage",$B$2:$B$500,B36,$C$2:$C$500,C36,$D$2:$D$500,"invoice")&gt;0),MAX($AC$1:AC35)+1,"")</f>
        <v/>
      </c>
      <c r="AD36" s="2">
        <f>IF(A36&lt;&gt;"line","",IF(O36="UNMAPPED","no mapping rule",IF(P36="L","low confidence","")))</f>
        <v/>
      </c>
      <c r="AE36" s="2">
        <f>IF(AD36&lt;&gt;"",MAX($AE$1:AE35)+1,"")</f>
        <v/>
      </c>
      <c r="AF36" s="2">
        <f>IF(A36="coverage",MAX($AF$1:AF35)+1,"")</f>
        <v/>
      </c>
      <c r="AG36" s="2">
        <f>IF(A36="line",IF(COUNTIFS($B$1:B35,B36,$C$1:C35,C36,$A$1:A35,"line")=0,MAX($AG$1:AG35)+1,""),"")</f>
        <v/>
      </c>
    </row>
    <row r="37">
      <c r="W37" s="2">
        <f>IF(A37="line",IF(D37="quote",E37,G37)&amp;"|"&amp;LOWER(TRIM(K37)),"")</f>
        <v/>
      </c>
      <c r="X37" s="2">
        <f>IF(OR(O37="LABOUR",O37="INSTALL"),"LABOUR_ALL",IF(O37="","",O37))</f>
        <v/>
      </c>
      <c r="Y37" s="9">
        <f>IF(AND(A37="line",D37="quote"),SUMIFS($N$2:$N$500,$W$2:$W$500,W37,$D$2:$D$500,"invoice",$A$2:$A$500,"line"),"")</f>
        <v/>
      </c>
      <c r="Z37" s="2">
        <f>IF(AND(A37="line",D37="quote"),COUNTIFS($W$2:$W$500,W37,$D$2:$D$500,"invoice",$A$2:$A$500,"line"),"")</f>
        <v/>
      </c>
      <c r="AA37" s="2">
        <f>IF(AND(A37="line",D37="invoice"),COUNTIFS($W$2:$W$500,W37,$D$2:$D$500,"quote",$A$2:$A$500,"line"),"")</f>
        <v/>
      </c>
      <c r="AB37" s="2">
        <f>IF(A37&lt;&gt;"line","",IF(D37="quote",IF(Z37=0,"quote only",IF(ABS(Y37-N37)&gt;Settings!$B$2,"amount differs","match")),IF(AA37=0,"invoice only","match")))</f>
        <v/>
      </c>
      <c r="AC37" s="2">
        <f>IF(AND(A37="line",AB37&lt;&gt;"match",COUNTIFS($A$2:$A$500,"coverage",$B$2:$B$500,B37,$C$2:$C$500,C37,$D$2:$D$500,"invoice")&gt;0),MAX($AC$1:AC36)+1,"")</f>
        <v/>
      </c>
      <c r="AD37" s="2">
        <f>IF(A37&lt;&gt;"line","",IF(O37="UNMAPPED","no mapping rule",IF(P37="L","low confidence","")))</f>
        <v/>
      </c>
      <c r="AE37" s="2">
        <f>IF(AD37&lt;&gt;"",MAX($AE$1:AE36)+1,"")</f>
        <v/>
      </c>
      <c r="AF37" s="2">
        <f>IF(A37="coverage",MAX($AF$1:AF36)+1,"")</f>
        <v/>
      </c>
      <c r="AG37" s="2">
        <f>IF(A37="line",IF(COUNTIFS($B$1:B36,B37,$C$1:C36,C37,$A$1:A36,"line")=0,MAX($AG$1:AG36)+1,""),"")</f>
        <v/>
      </c>
    </row>
    <row r="38">
      <c r="W38" s="2">
        <f>IF(A38="line",IF(D38="quote",E38,G38)&amp;"|"&amp;LOWER(TRIM(K38)),"")</f>
        <v/>
      </c>
      <c r="X38" s="2">
        <f>IF(OR(O38="LABOUR",O38="INSTALL"),"LABOUR_ALL",IF(O38="","",O38))</f>
        <v/>
      </c>
      <c r="Y38" s="9">
        <f>IF(AND(A38="line",D38="quote"),SUMIFS($N$2:$N$500,$W$2:$W$500,W38,$D$2:$D$500,"invoice",$A$2:$A$500,"line"),"")</f>
        <v/>
      </c>
      <c r="Z38" s="2">
        <f>IF(AND(A38="line",D38="quote"),COUNTIFS($W$2:$W$500,W38,$D$2:$D$500,"invoice",$A$2:$A$500,"line"),"")</f>
        <v/>
      </c>
      <c r="AA38" s="2">
        <f>IF(AND(A38="line",D38="invoice"),COUNTIFS($W$2:$W$500,W38,$D$2:$D$500,"quote",$A$2:$A$500,"line"),"")</f>
        <v/>
      </c>
      <c r="AB38" s="2">
        <f>IF(A38&lt;&gt;"line","",IF(D38="quote",IF(Z38=0,"quote only",IF(ABS(Y38-N38)&gt;Settings!$B$2,"amount differs","match")),IF(AA38=0,"invoice only","match")))</f>
        <v/>
      </c>
      <c r="AC38" s="2">
        <f>IF(AND(A38="line",AB38&lt;&gt;"match",COUNTIFS($A$2:$A$500,"coverage",$B$2:$B$500,B38,$C$2:$C$500,C38,$D$2:$D$500,"invoice")&gt;0),MAX($AC$1:AC37)+1,"")</f>
        <v/>
      </c>
      <c r="AD38" s="2">
        <f>IF(A38&lt;&gt;"line","",IF(O38="UNMAPPED","no mapping rule",IF(P38="L","low confidence","")))</f>
        <v/>
      </c>
      <c r="AE38" s="2">
        <f>IF(AD38&lt;&gt;"",MAX($AE$1:AE37)+1,"")</f>
        <v/>
      </c>
      <c r="AF38" s="2">
        <f>IF(A38="coverage",MAX($AF$1:AF37)+1,"")</f>
        <v/>
      </c>
      <c r="AG38" s="2">
        <f>IF(A38="line",IF(COUNTIFS($B$1:B37,B38,$C$1:C37,C38,$A$1:A37,"line")=0,MAX($AG$1:AG37)+1,""),"")</f>
        <v/>
      </c>
    </row>
    <row r="39">
      <c r="W39" s="2">
        <f>IF(A39="line",IF(D39="quote",E39,G39)&amp;"|"&amp;LOWER(TRIM(K39)),"")</f>
        <v/>
      </c>
      <c r="X39" s="2">
        <f>IF(OR(O39="LABOUR",O39="INSTALL"),"LABOUR_ALL",IF(O39="","",O39))</f>
        <v/>
      </c>
      <c r="Y39" s="9">
        <f>IF(AND(A39="line",D39="quote"),SUMIFS($N$2:$N$500,$W$2:$W$500,W39,$D$2:$D$500,"invoice",$A$2:$A$500,"line"),"")</f>
        <v/>
      </c>
      <c r="Z39" s="2">
        <f>IF(AND(A39="line",D39="quote"),COUNTIFS($W$2:$W$500,W39,$D$2:$D$500,"invoice",$A$2:$A$500,"line"),"")</f>
        <v/>
      </c>
      <c r="AA39" s="2">
        <f>IF(AND(A39="line",D39="invoice"),COUNTIFS($W$2:$W$500,W39,$D$2:$D$500,"quote",$A$2:$A$500,"line"),"")</f>
        <v/>
      </c>
      <c r="AB39" s="2">
        <f>IF(A39&lt;&gt;"line","",IF(D39="quote",IF(Z39=0,"quote only",IF(ABS(Y39-N39)&gt;Settings!$B$2,"amount differs","match")),IF(AA39=0,"invoice only","match")))</f>
        <v/>
      </c>
      <c r="AC39" s="2">
        <f>IF(AND(A39="line",AB39&lt;&gt;"match",COUNTIFS($A$2:$A$500,"coverage",$B$2:$B$500,B39,$C$2:$C$500,C39,$D$2:$D$500,"invoice")&gt;0),MAX($AC$1:AC38)+1,"")</f>
        <v/>
      </c>
      <c r="AD39" s="2">
        <f>IF(A39&lt;&gt;"line","",IF(O39="UNMAPPED","no mapping rule",IF(P39="L","low confidence","")))</f>
        <v/>
      </c>
      <c r="AE39" s="2">
        <f>IF(AD39&lt;&gt;"",MAX($AE$1:AE38)+1,"")</f>
        <v/>
      </c>
      <c r="AF39" s="2">
        <f>IF(A39="coverage",MAX($AF$1:AF38)+1,"")</f>
        <v/>
      </c>
      <c r="AG39" s="2">
        <f>IF(A39="line",IF(COUNTIFS($B$1:B38,B39,$C$1:C38,C39,$A$1:A38,"line")=0,MAX($AG$1:AG38)+1,""),"")</f>
        <v/>
      </c>
    </row>
    <row r="40">
      <c r="W40" s="2">
        <f>IF(A40="line",IF(D40="quote",E40,G40)&amp;"|"&amp;LOWER(TRIM(K40)),"")</f>
        <v/>
      </c>
      <c r="X40" s="2">
        <f>IF(OR(O40="LABOUR",O40="INSTALL"),"LABOUR_ALL",IF(O40="","",O40))</f>
        <v/>
      </c>
      <c r="Y40" s="9">
        <f>IF(AND(A40="line",D40="quote"),SUMIFS($N$2:$N$500,$W$2:$W$500,W40,$D$2:$D$500,"invoice",$A$2:$A$500,"line"),"")</f>
        <v/>
      </c>
      <c r="Z40" s="2">
        <f>IF(AND(A40="line",D40="quote"),COUNTIFS($W$2:$W$500,W40,$D$2:$D$500,"invoice",$A$2:$A$500,"line"),"")</f>
        <v/>
      </c>
      <c r="AA40" s="2">
        <f>IF(AND(A40="line",D40="invoice"),COUNTIFS($W$2:$W$500,W40,$D$2:$D$500,"quote",$A$2:$A$500,"line"),"")</f>
        <v/>
      </c>
      <c r="AB40" s="2">
        <f>IF(A40&lt;&gt;"line","",IF(D40="quote",IF(Z40=0,"quote only",IF(ABS(Y40-N40)&gt;Settings!$B$2,"amount differs","match")),IF(AA40=0,"invoice only","match")))</f>
        <v/>
      </c>
      <c r="AC40" s="2">
        <f>IF(AND(A40="line",AB40&lt;&gt;"match",COUNTIFS($A$2:$A$500,"coverage",$B$2:$B$500,B40,$C$2:$C$500,C40,$D$2:$D$500,"invoice")&gt;0),MAX($AC$1:AC39)+1,"")</f>
        <v/>
      </c>
      <c r="AD40" s="2">
        <f>IF(A40&lt;&gt;"line","",IF(O40="UNMAPPED","no mapping rule",IF(P40="L","low confidence","")))</f>
        <v/>
      </c>
      <c r="AE40" s="2">
        <f>IF(AD40&lt;&gt;"",MAX($AE$1:AE39)+1,"")</f>
        <v/>
      </c>
      <c r="AF40" s="2">
        <f>IF(A40="coverage",MAX($AF$1:AF39)+1,"")</f>
        <v/>
      </c>
      <c r="AG40" s="2">
        <f>IF(A40="line",IF(COUNTIFS($B$1:B39,B40,$C$1:C39,C40,$A$1:A39,"line")=0,MAX($AG$1:AG39)+1,""),"")</f>
        <v/>
      </c>
    </row>
    <row r="41">
      <c r="W41" s="2">
        <f>IF(A41="line",IF(D41="quote",E41,G41)&amp;"|"&amp;LOWER(TRIM(K41)),"")</f>
        <v/>
      </c>
      <c r="X41" s="2">
        <f>IF(OR(O41="LABOUR",O41="INSTALL"),"LABOUR_ALL",IF(O41="","",O41))</f>
        <v/>
      </c>
      <c r="Y41" s="9">
        <f>IF(AND(A41="line",D41="quote"),SUMIFS($N$2:$N$500,$W$2:$W$500,W41,$D$2:$D$500,"invoice",$A$2:$A$500,"line"),"")</f>
        <v/>
      </c>
      <c r="Z41" s="2">
        <f>IF(AND(A41="line",D41="quote"),COUNTIFS($W$2:$W$500,W41,$D$2:$D$500,"invoice",$A$2:$A$500,"line"),"")</f>
        <v/>
      </c>
      <c r="AA41" s="2">
        <f>IF(AND(A41="line",D41="invoice"),COUNTIFS($W$2:$W$500,W41,$D$2:$D$500,"quote",$A$2:$A$500,"line"),"")</f>
        <v/>
      </c>
      <c r="AB41" s="2">
        <f>IF(A41&lt;&gt;"line","",IF(D41="quote",IF(Z41=0,"quote only",IF(ABS(Y41-N41)&gt;Settings!$B$2,"amount differs","match")),IF(AA41=0,"invoice only","match")))</f>
        <v/>
      </c>
      <c r="AC41" s="2">
        <f>IF(AND(A41="line",AB41&lt;&gt;"match",COUNTIFS($A$2:$A$500,"coverage",$B$2:$B$500,B41,$C$2:$C$500,C41,$D$2:$D$500,"invoice")&gt;0),MAX($AC$1:AC40)+1,"")</f>
        <v/>
      </c>
      <c r="AD41" s="2">
        <f>IF(A41&lt;&gt;"line","",IF(O41="UNMAPPED","no mapping rule",IF(P41="L","low confidence","")))</f>
        <v/>
      </c>
      <c r="AE41" s="2">
        <f>IF(AD41&lt;&gt;"",MAX($AE$1:AE40)+1,"")</f>
        <v/>
      </c>
      <c r="AF41" s="2">
        <f>IF(A41="coverage",MAX($AF$1:AF40)+1,"")</f>
        <v/>
      </c>
      <c r="AG41" s="2">
        <f>IF(A41="line",IF(COUNTIFS($B$1:B40,B41,$C$1:C40,C41,$A$1:A40,"line")=0,MAX($AG$1:AG40)+1,""),"")</f>
        <v/>
      </c>
    </row>
    <row r="42">
      <c r="W42" s="2">
        <f>IF(A42="line",IF(D42="quote",E42,G42)&amp;"|"&amp;LOWER(TRIM(K42)),"")</f>
        <v/>
      </c>
      <c r="X42" s="2">
        <f>IF(OR(O42="LABOUR",O42="INSTALL"),"LABOUR_ALL",IF(O42="","",O42))</f>
        <v/>
      </c>
      <c r="Y42" s="9">
        <f>IF(AND(A42="line",D42="quote"),SUMIFS($N$2:$N$500,$W$2:$W$500,W42,$D$2:$D$500,"invoice",$A$2:$A$500,"line"),"")</f>
        <v/>
      </c>
      <c r="Z42" s="2">
        <f>IF(AND(A42="line",D42="quote"),COUNTIFS($W$2:$W$500,W42,$D$2:$D$500,"invoice",$A$2:$A$500,"line"),"")</f>
        <v/>
      </c>
      <c r="AA42" s="2">
        <f>IF(AND(A42="line",D42="invoice"),COUNTIFS($W$2:$W$500,W42,$D$2:$D$500,"quote",$A$2:$A$500,"line"),"")</f>
        <v/>
      </c>
      <c r="AB42" s="2">
        <f>IF(A42&lt;&gt;"line","",IF(D42="quote",IF(Z42=0,"quote only",IF(ABS(Y42-N42)&gt;Settings!$B$2,"amount differs","match")),IF(AA42=0,"invoice only","match")))</f>
        <v/>
      </c>
      <c r="AC42" s="2">
        <f>IF(AND(A42="line",AB42&lt;&gt;"match",COUNTIFS($A$2:$A$500,"coverage",$B$2:$B$500,B42,$C$2:$C$500,C42,$D$2:$D$500,"invoice")&gt;0),MAX($AC$1:AC41)+1,"")</f>
        <v/>
      </c>
      <c r="AD42" s="2">
        <f>IF(A42&lt;&gt;"line","",IF(O42="UNMAPPED","no mapping rule",IF(P42="L","low confidence","")))</f>
        <v/>
      </c>
      <c r="AE42" s="2">
        <f>IF(AD42&lt;&gt;"",MAX($AE$1:AE41)+1,"")</f>
        <v/>
      </c>
      <c r="AF42" s="2">
        <f>IF(A42="coverage",MAX($AF$1:AF41)+1,"")</f>
        <v/>
      </c>
      <c r="AG42" s="2">
        <f>IF(A42="line",IF(COUNTIFS($B$1:B41,B42,$C$1:C41,C42,$A$1:A41,"line")=0,MAX($AG$1:AG41)+1,""),"")</f>
        <v/>
      </c>
    </row>
    <row r="43">
      <c r="W43" s="2">
        <f>IF(A43="line",IF(D43="quote",E43,G43)&amp;"|"&amp;LOWER(TRIM(K43)),"")</f>
        <v/>
      </c>
      <c r="X43" s="2">
        <f>IF(OR(O43="LABOUR",O43="INSTALL"),"LABOUR_ALL",IF(O43="","",O43))</f>
        <v/>
      </c>
      <c r="Y43" s="9">
        <f>IF(AND(A43="line",D43="quote"),SUMIFS($N$2:$N$500,$W$2:$W$500,W43,$D$2:$D$500,"invoice",$A$2:$A$500,"line"),"")</f>
        <v/>
      </c>
      <c r="Z43" s="2">
        <f>IF(AND(A43="line",D43="quote"),COUNTIFS($W$2:$W$500,W43,$D$2:$D$500,"invoice",$A$2:$A$500,"line"),"")</f>
        <v/>
      </c>
      <c r="AA43" s="2">
        <f>IF(AND(A43="line",D43="invoice"),COUNTIFS($W$2:$W$500,W43,$D$2:$D$500,"quote",$A$2:$A$500,"line"),"")</f>
        <v/>
      </c>
      <c r="AB43" s="2">
        <f>IF(A43&lt;&gt;"line","",IF(D43="quote",IF(Z43=0,"quote only",IF(ABS(Y43-N43)&gt;Settings!$B$2,"amount differs","match")),IF(AA43=0,"invoice only","match")))</f>
        <v/>
      </c>
      <c r="AC43" s="2">
        <f>IF(AND(A43="line",AB43&lt;&gt;"match",COUNTIFS($A$2:$A$500,"coverage",$B$2:$B$500,B43,$C$2:$C$500,C43,$D$2:$D$500,"invoice")&gt;0),MAX($AC$1:AC42)+1,"")</f>
        <v/>
      </c>
      <c r="AD43" s="2">
        <f>IF(A43&lt;&gt;"line","",IF(O43="UNMAPPED","no mapping rule",IF(P43="L","low confidence","")))</f>
        <v/>
      </c>
      <c r="AE43" s="2">
        <f>IF(AD43&lt;&gt;"",MAX($AE$1:AE42)+1,"")</f>
        <v/>
      </c>
      <c r="AF43" s="2">
        <f>IF(A43="coverage",MAX($AF$1:AF42)+1,"")</f>
        <v/>
      </c>
      <c r="AG43" s="2">
        <f>IF(A43="line",IF(COUNTIFS($B$1:B42,B43,$C$1:C42,C43,$A$1:A42,"line")=0,MAX($AG$1:AG42)+1,""),"")</f>
        <v/>
      </c>
    </row>
    <row r="44">
      <c r="W44" s="2">
        <f>IF(A44="line",IF(D44="quote",E44,G44)&amp;"|"&amp;LOWER(TRIM(K44)),"")</f>
        <v/>
      </c>
      <c r="X44" s="2">
        <f>IF(OR(O44="LABOUR",O44="INSTALL"),"LABOUR_ALL",IF(O44="","",O44))</f>
        <v/>
      </c>
      <c r="Y44" s="9">
        <f>IF(AND(A44="line",D44="quote"),SUMIFS($N$2:$N$500,$W$2:$W$500,W44,$D$2:$D$500,"invoice",$A$2:$A$500,"line"),"")</f>
        <v/>
      </c>
      <c r="Z44" s="2">
        <f>IF(AND(A44="line",D44="quote"),COUNTIFS($W$2:$W$500,W44,$D$2:$D$500,"invoice",$A$2:$A$500,"line"),"")</f>
        <v/>
      </c>
      <c r="AA44" s="2">
        <f>IF(AND(A44="line",D44="invoice"),COUNTIFS($W$2:$W$500,W44,$D$2:$D$500,"quote",$A$2:$A$500,"line"),"")</f>
        <v/>
      </c>
      <c r="AB44" s="2">
        <f>IF(A44&lt;&gt;"line","",IF(D44="quote",IF(Z44=0,"quote only",IF(ABS(Y44-N44)&gt;Settings!$B$2,"amount differs","match")),IF(AA44=0,"invoice only","match")))</f>
        <v/>
      </c>
      <c r="AC44" s="2">
        <f>IF(AND(A44="line",AB44&lt;&gt;"match",COUNTIFS($A$2:$A$500,"coverage",$B$2:$B$500,B44,$C$2:$C$500,C44,$D$2:$D$500,"invoice")&gt;0),MAX($AC$1:AC43)+1,"")</f>
        <v/>
      </c>
      <c r="AD44" s="2">
        <f>IF(A44&lt;&gt;"line","",IF(O44="UNMAPPED","no mapping rule",IF(P44="L","low confidence","")))</f>
        <v/>
      </c>
      <c r="AE44" s="2">
        <f>IF(AD44&lt;&gt;"",MAX($AE$1:AE43)+1,"")</f>
        <v/>
      </c>
      <c r="AF44" s="2">
        <f>IF(A44="coverage",MAX($AF$1:AF43)+1,"")</f>
        <v/>
      </c>
      <c r="AG44" s="2">
        <f>IF(A44="line",IF(COUNTIFS($B$1:B43,B44,$C$1:C43,C44,$A$1:A43,"line")=0,MAX($AG$1:AG43)+1,""),"")</f>
        <v/>
      </c>
    </row>
    <row r="45">
      <c r="W45" s="2">
        <f>IF(A45="line",IF(D45="quote",E45,G45)&amp;"|"&amp;LOWER(TRIM(K45)),"")</f>
        <v/>
      </c>
      <c r="X45" s="2">
        <f>IF(OR(O45="LABOUR",O45="INSTALL"),"LABOUR_ALL",IF(O45="","",O45))</f>
        <v/>
      </c>
      <c r="Y45" s="9">
        <f>IF(AND(A45="line",D45="quote"),SUMIFS($N$2:$N$500,$W$2:$W$500,W45,$D$2:$D$500,"invoice",$A$2:$A$500,"line"),"")</f>
        <v/>
      </c>
      <c r="Z45" s="2">
        <f>IF(AND(A45="line",D45="quote"),COUNTIFS($W$2:$W$500,W45,$D$2:$D$500,"invoice",$A$2:$A$500,"line"),"")</f>
        <v/>
      </c>
      <c r="AA45" s="2">
        <f>IF(AND(A45="line",D45="invoice"),COUNTIFS($W$2:$W$500,W45,$D$2:$D$500,"quote",$A$2:$A$500,"line"),"")</f>
        <v/>
      </c>
      <c r="AB45" s="2">
        <f>IF(A45&lt;&gt;"line","",IF(D45="quote",IF(Z45=0,"quote only",IF(ABS(Y45-N45)&gt;Settings!$B$2,"amount differs","match")),IF(AA45=0,"invoice only","match")))</f>
        <v/>
      </c>
      <c r="AC45" s="2">
        <f>IF(AND(A45="line",AB45&lt;&gt;"match",COUNTIFS($A$2:$A$500,"coverage",$B$2:$B$500,B45,$C$2:$C$500,C45,$D$2:$D$500,"invoice")&gt;0),MAX($AC$1:AC44)+1,"")</f>
        <v/>
      </c>
      <c r="AD45" s="2">
        <f>IF(A45&lt;&gt;"line","",IF(O45="UNMAPPED","no mapping rule",IF(P45="L","low confidence","")))</f>
        <v/>
      </c>
      <c r="AE45" s="2">
        <f>IF(AD45&lt;&gt;"",MAX($AE$1:AE44)+1,"")</f>
        <v/>
      </c>
      <c r="AF45" s="2">
        <f>IF(A45="coverage",MAX($AF$1:AF44)+1,"")</f>
        <v/>
      </c>
      <c r="AG45" s="2">
        <f>IF(A45="line",IF(COUNTIFS($B$1:B44,B45,$C$1:C44,C45,$A$1:A44,"line")=0,MAX($AG$1:AG44)+1,""),"")</f>
        <v/>
      </c>
    </row>
    <row r="46">
      <c r="W46" s="2">
        <f>IF(A46="line",IF(D46="quote",E46,G46)&amp;"|"&amp;LOWER(TRIM(K46)),"")</f>
        <v/>
      </c>
      <c r="X46" s="2">
        <f>IF(OR(O46="LABOUR",O46="INSTALL"),"LABOUR_ALL",IF(O46="","",O46))</f>
        <v/>
      </c>
      <c r="Y46" s="9">
        <f>IF(AND(A46="line",D46="quote"),SUMIFS($N$2:$N$500,$W$2:$W$500,W46,$D$2:$D$500,"invoice",$A$2:$A$500,"line"),"")</f>
        <v/>
      </c>
      <c r="Z46" s="2">
        <f>IF(AND(A46="line",D46="quote"),COUNTIFS($W$2:$W$500,W46,$D$2:$D$500,"invoice",$A$2:$A$500,"line"),"")</f>
        <v/>
      </c>
      <c r="AA46" s="2">
        <f>IF(AND(A46="line",D46="invoice"),COUNTIFS($W$2:$W$500,W46,$D$2:$D$500,"quote",$A$2:$A$500,"line"),"")</f>
        <v/>
      </c>
      <c r="AB46" s="2">
        <f>IF(A46&lt;&gt;"line","",IF(D46="quote",IF(Z46=0,"quote only",IF(ABS(Y46-N46)&gt;Settings!$B$2,"amount differs","match")),IF(AA46=0,"invoice only","match")))</f>
        <v/>
      </c>
      <c r="AC46" s="2">
        <f>IF(AND(A46="line",AB46&lt;&gt;"match",COUNTIFS($A$2:$A$500,"coverage",$B$2:$B$500,B46,$C$2:$C$500,C46,$D$2:$D$500,"invoice")&gt;0),MAX($AC$1:AC45)+1,"")</f>
        <v/>
      </c>
      <c r="AD46" s="2">
        <f>IF(A46&lt;&gt;"line","",IF(O46="UNMAPPED","no mapping rule",IF(P46="L","low confidence","")))</f>
        <v/>
      </c>
      <c r="AE46" s="2">
        <f>IF(AD46&lt;&gt;"",MAX($AE$1:AE45)+1,"")</f>
        <v/>
      </c>
      <c r="AF46" s="2">
        <f>IF(A46="coverage",MAX($AF$1:AF45)+1,"")</f>
        <v/>
      </c>
      <c r="AG46" s="2">
        <f>IF(A46="line",IF(COUNTIFS($B$1:B45,B46,$C$1:C45,C46,$A$1:A45,"line")=0,MAX($AG$1:AG45)+1,""),"")</f>
        <v/>
      </c>
    </row>
    <row r="47">
      <c r="W47" s="2">
        <f>IF(A47="line",IF(D47="quote",E47,G47)&amp;"|"&amp;LOWER(TRIM(K47)),"")</f>
        <v/>
      </c>
      <c r="X47" s="2">
        <f>IF(OR(O47="LABOUR",O47="INSTALL"),"LABOUR_ALL",IF(O47="","",O47))</f>
        <v/>
      </c>
      <c r="Y47" s="9">
        <f>IF(AND(A47="line",D47="quote"),SUMIFS($N$2:$N$500,$W$2:$W$500,W47,$D$2:$D$500,"invoice",$A$2:$A$500,"line"),"")</f>
        <v/>
      </c>
      <c r="Z47" s="2">
        <f>IF(AND(A47="line",D47="quote"),COUNTIFS($W$2:$W$500,W47,$D$2:$D$500,"invoice",$A$2:$A$500,"line"),"")</f>
        <v/>
      </c>
      <c r="AA47" s="2">
        <f>IF(AND(A47="line",D47="invoice"),COUNTIFS($W$2:$W$500,W47,$D$2:$D$500,"quote",$A$2:$A$500,"line"),"")</f>
        <v/>
      </c>
      <c r="AB47" s="2">
        <f>IF(A47&lt;&gt;"line","",IF(D47="quote",IF(Z47=0,"quote only",IF(ABS(Y47-N47)&gt;Settings!$B$2,"amount differs","match")),IF(AA47=0,"invoice only","match")))</f>
        <v/>
      </c>
      <c r="AC47" s="2">
        <f>IF(AND(A47="line",AB47&lt;&gt;"match",COUNTIFS($A$2:$A$500,"coverage",$B$2:$B$500,B47,$C$2:$C$500,C47,$D$2:$D$500,"invoice")&gt;0),MAX($AC$1:AC46)+1,"")</f>
        <v/>
      </c>
      <c r="AD47" s="2">
        <f>IF(A47&lt;&gt;"line","",IF(O47="UNMAPPED","no mapping rule",IF(P47="L","low confidence","")))</f>
        <v/>
      </c>
      <c r="AE47" s="2">
        <f>IF(AD47&lt;&gt;"",MAX($AE$1:AE46)+1,"")</f>
        <v/>
      </c>
      <c r="AF47" s="2">
        <f>IF(A47="coverage",MAX($AF$1:AF46)+1,"")</f>
        <v/>
      </c>
      <c r="AG47" s="2">
        <f>IF(A47="line",IF(COUNTIFS($B$1:B46,B47,$C$1:C46,C47,$A$1:A46,"line")=0,MAX($AG$1:AG46)+1,""),"")</f>
        <v/>
      </c>
    </row>
    <row r="48">
      <c r="W48" s="2">
        <f>IF(A48="line",IF(D48="quote",E48,G48)&amp;"|"&amp;LOWER(TRIM(K48)),"")</f>
        <v/>
      </c>
      <c r="X48" s="2">
        <f>IF(OR(O48="LABOUR",O48="INSTALL"),"LABOUR_ALL",IF(O48="","",O48))</f>
        <v/>
      </c>
      <c r="Y48" s="9">
        <f>IF(AND(A48="line",D48="quote"),SUMIFS($N$2:$N$500,$W$2:$W$500,W48,$D$2:$D$500,"invoice",$A$2:$A$500,"line"),"")</f>
        <v/>
      </c>
      <c r="Z48" s="2">
        <f>IF(AND(A48="line",D48="quote"),COUNTIFS($W$2:$W$500,W48,$D$2:$D$500,"invoice",$A$2:$A$500,"line"),"")</f>
        <v/>
      </c>
      <c r="AA48" s="2">
        <f>IF(AND(A48="line",D48="invoice"),COUNTIFS($W$2:$W$500,W48,$D$2:$D$500,"quote",$A$2:$A$500,"line"),"")</f>
        <v/>
      </c>
      <c r="AB48" s="2">
        <f>IF(A48&lt;&gt;"line","",IF(D48="quote",IF(Z48=0,"quote only",IF(ABS(Y48-N48)&gt;Settings!$B$2,"amount differs","match")),IF(AA48=0,"invoice only","match")))</f>
        <v/>
      </c>
      <c r="AC48" s="2">
        <f>IF(AND(A48="line",AB48&lt;&gt;"match",COUNTIFS($A$2:$A$500,"coverage",$B$2:$B$500,B48,$C$2:$C$500,C48,$D$2:$D$500,"invoice")&gt;0),MAX($AC$1:AC47)+1,"")</f>
        <v/>
      </c>
      <c r="AD48" s="2">
        <f>IF(A48&lt;&gt;"line","",IF(O48="UNMAPPED","no mapping rule",IF(P48="L","low confidence","")))</f>
        <v/>
      </c>
      <c r="AE48" s="2">
        <f>IF(AD48&lt;&gt;"",MAX($AE$1:AE47)+1,"")</f>
        <v/>
      </c>
      <c r="AF48" s="2">
        <f>IF(A48="coverage",MAX($AF$1:AF47)+1,"")</f>
        <v/>
      </c>
      <c r="AG48" s="2">
        <f>IF(A48="line",IF(COUNTIFS($B$1:B47,B48,$C$1:C47,C48,$A$1:A47,"line")=0,MAX($AG$1:AG47)+1,""),"")</f>
        <v/>
      </c>
    </row>
    <row r="49">
      <c r="W49" s="2">
        <f>IF(A49="line",IF(D49="quote",E49,G49)&amp;"|"&amp;LOWER(TRIM(K49)),"")</f>
        <v/>
      </c>
      <c r="X49" s="2">
        <f>IF(OR(O49="LABOUR",O49="INSTALL"),"LABOUR_ALL",IF(O49="","",O49))</f>
        <v/>
      </c>
      <c r="Y49" s="9">
        <f>IF(AND(A49="line",D49="quote"),SUMIFS($N$2:$N$500,$W$2:$W$500,W49,$D$2:$D$500,"invoice",$A$2:$A$500,"line"),"")</f>
        <v/>
      </c>
      <c r="Z49" s="2">
        <f>IF(AND(A49="line",D49="quote"),COUNTIFS($W$2:$W$500,W49,$D$2:$D$500,"invoice",$A$2:$A$500,"line"),"")</f>
        <v/>
      </c>
      <c r="AA49" s="2">
        <f>IF(AND(A49="line",D49="invoice"),COUNTIFS($W$2:$W$500,W49,$D$2:$D$500,"quote",$A$2:$A$500,"line"),"")</f>
        <v/>
      </c>
      <c r="AB49" s="2">
        <f>IF(A49&lt;&gt;"line","",IF(D49="quote",IF(Z49=0,"quote only",IF(ABS(Y49-N49)&gt;Settings!$B$2,"amount differs","match")),IF(AA49=0,"invoice only","match")))</f>
        <v/>
      </c>
      <c r="AC49" s="2">
        <f>IF(AND(A49="line",AB49&lt;&gt;"match",COUNTIFS($A$2:$A$500,"coverage",$B$2:$B$500,B49,$C$2:$C$500,C49,$D$2:$D$500,"invoice")&gt;0),MAX($AC$1:AC48)+1,"")</f>
        <v/>
      </c>
      <c r="AD49" s="2">
        <f>IF(A49&lt;&gt;"line","",IF(O49="UNMAPPED","no mapping rule",IF(P49="L","low confidence","")))</f>
        <v/>
      </c>
      <c r="AE49" s="2">
        <f>IF(AD49&lt;&gt;"",MAX($AE$1:AE48)+1,"")</f>
        <v/>
      </c>
      <c r="AF49" s="2">
        <f>IF(A49="coverage",MAX($AF$1:AF48)+1,"")</f>
        <v/>
      </c>
      <c r="AG49" s="2">
        <f>IF(A49="line",IF(COUNTIFS($B$1:B48,B49,$C$1:C48,C49,$A$1:A48,"line")=0,MAX($AG$1:AG48)+1,""),"")</f>
        <v/>
      </c>
    </row>
    <row r="50">
      <c r="W50" s="2">
        <f>IF(A50="line",IF(D50="quote",E50,G50)&amp;"|"&amp;LOWER(TRIM(K50)),"")</f>
        <v/>
      </c>
      <c r="X50" s="2">
        <f>IF(OR(O50="LABOUR",O50="INSTALL"),"LABOUR_ALL",IF(O50="","",O50))</f>
        <v/>
      </c>
      <c r="Y50" s="9">
        <f>IF(AND(A50="line",D50="quote"),SUMIFS($N$2:$N$500,$W$2:$W$500,W50,$D$2:$D$500,"invoice",$A$2:$A$500,"line"),"")</f>
        <v/>
      </c>
      <c r="Z50" s="2">
        <f>IF(AND(A50="line",D50="quote"),COUNTIFS($W$2:$W$500,W50,$D$2:$D$500,"invoice",$A$2:$A$500,"line"),"")</f>
        <v/>
      </c>
      <c r="AA50" s="2">
        <f>IF(AND(A50="line",D50="invoice"),COUNTIFS($W$2:$W$500,W50,$D$2:$D$500,"quote",$A$2:$A$500,"line"),"")</f>
        <v/>
      </c>
      <c r="AB50" s="2">
        <f>IF(A50&lt;&gt;"line","",IF(D50="quote",IF(Z50=0,"quote only",IF(ABS(Y50-N50)&gt;Settings!$B$2,"amount differs","match")),IF(AA50=0,"invoice only","match")))</f>
        <v/>
      </c>
      <c r="AC50" s="2">
        <f>IF(AND(A50="line",AB50&lt;&gt;"match",COUNTIFS($A$2:$A$500,"coverage",$B$2:$B$500,B50,$C$2:$C$500,C50,$D$2:$D$500,"invoice")&gt;0),MAX($AC$1:AC49)+1,"")</f>
        <v/>
      </c>
      <c r="AD50" s="2">
        <f>IF(A50&lt;&gt;"line","",IF(O50="UNMAPPED","no mapping rule",IF(P50="L","low confidence","")))</f>
        <v/>
      </c>
      <c r="AE50" s="2">
        <f>IF(AD50&lt;&gt;"",MAX($AE$1:AE49)+1,"")</f>
        <v/>
      </c>
      <c r="AF50" s="2">
        <f>IF(A50="coverage",MAX($AF$1:AF49)+1,"")</f>
        <v/>
      </c>
      <c r="AG50" s="2">
        <f>IF(A50="line",IF(COUNTIFS($B$1:B49,B50,$C$1:C49,C50,$A$1:A49,"line")=0,MAX($AG$1:AG49)+1,""),"")</f>
        <v/>
      </c>
    </row>
    <row r="51">
      <c r="W51" s="2">
        <f>IF(A51="line",IF(D51="quote",E51,G51)&amp;"|"&amp;LOWER(TRIM(K51)),"")</f>
        <v/>
      </c>
      <c r="X51" s="2">
        <f>IF(OR(O51="LABOUR",O51="INSTALL"),"LABOUR_ALL",IF(O51="","",O51))</f>
        <v/>
      </c>
      <c r="Y51" s="9">
        <f>IF(AND(A51="line",D51="quote"),SUMIFS($N$2:$N$500,$W$2:$W$500,W51,$D$2:$D$500,"invoice",$A$2:$A$500,"line"),"")</f>
        <v/>
      </c>
      <c r="Z51" s="2">
        <f>IF(AND(A51="line",D51="quote"),COUNTIFS($W$2:$W$500,W51,$D$2:$D$500,"invoice",$A$2:$A$500,"line"),"")</f>
        <v/>
      </c>
      <c r="AA51" s="2">
        <f>IF(AND(A51="line",D51="invoice"),COUNTIFS($W$2:$W$500,W51,$D$2:$D$500,"quote",$A$2:$A$500,"line"),"")</f>
        <v/>
      </c>
      <c r="AB51" s="2">
        <f>IF(A51&lt;&gt;"line","",IF(D51="quote",IF(Z51=0,"quote only",IF(ABS(Y51-N51)&gt;Settings!$B$2,"amount differs","match")),IF(AA51=0,"invoice only","match")))</f>
        <v/>
      </c>
      <c r="AC51" s="2">
        <f>IF(AND(A51="line",AB51&lt;&gt;"match",COUNTIFS($A$2:$A$500,"coverage",$B$2:$B$500,B51,$C$2:$C$500,C51,$D$2:$D$500,"invoice")&gt;0),MAX($AC$1:AC50)+1,"")</f>
        <v/>
      </c>
      <c r="AD51" s="2">
        <f>IF(A51&lt;&gt;"line","",IF(O51="UNMAPPED","no mapping rule",IF(P51="L","low confidence","")))</f>
        <v/>
      </c>
      <c r="AE51" s="2">
        <f>IF(AD51&lt;&gt;"",MAX($AE$1:AE50)+1,"")</f>
        <v/>
      </c>
      <c r="AF51" s="2">
        <f>IF(A51="coverage",MAX($AF$1:AF50)+1,"")</f>
        <v/>
      </c>
      <c r="AG51" s="2">
        <f>IF(A51="line",IF(COUNTIFS($B$1:B50,B51,$C$1:C50,C51,$A$1:A50,"line")=0,MAX($AG$1:AG50)+1,""),"")</f>
        <v/>
      </c>
    </row>
    <row r="52">
      <c r="W52" s="2">
        <f>IF(A52="line",IF(D52="quote",E52,G52)&amp;"|"&amp;LOWER(TRIM(K52)),"")</f>
        <v/>
      </c>
      <c r="X52" s="2">
        <f>IF(OR(O52="LABOUR",O52="INSTALL"),"LABOUR_ALL",IF(O52="","",O52))</f>
        <v/>
      </c>
      <c r="Y52" s="9">
        <f>IF(AND(A52="line",D52="quote"),SUMIFS($N$2:$N$500,$W$2:$W$500,W52,$D$2:$D$500,"invoice",$A$2:$A$500,"line"),"")</f>
        <v/>
      </c>
      <c r="Z52" s="2">
        <f>IF(AND(A52="line",D52="quote"),COUNTIFS($W$2:$W$500,W52,$D$2:$D$500,"invoice",$A$2:$A$500,"line"),"")</f>
        <v/>
      </c>
      <c r="AA52" s="2">
        <f>IF(AND(A52="line",D52="invoice"),COUNTIFS($W$2:$W$500,W52,$D$2:$D$500,"quote",$A$2:$A$500,"line"),"")</f>
        <v/>
      </c>
      <c r="AB52" s="2">
        <f>IF(A52&lt;&gt;"line","",IF(D52="quote",IF(Z52=0,"quote only",IF(ABS(Y52-N52)&gt;Settings!$B$2,"amount differs","match")),IF(AA52=0,"invoice only","match")))</f>
        <v/>
      </c>
      <c r="AC52" s="2">
        <f>IF(AND(A52="line",AB52&lt;&gt;"match",COUNTIFS($A$2:$A$500,"coverage",$B$2:$B$500,B52,$C$2:$C$500,C52,$D$2:$D$500,"invoice")&gt;0),MAX($AC$1:AC51)+1,"")</f>
        <v/>
      </c>
      <c r="AD52" s="2">
        <f>IF(A52&lt;&gt;"line","",IF(O52="UNMAPPED","no mapping rule",IF(P52="L","low confidence","")))</f>
        <v/>
      </c>
      <c r="AE52" s="2">
        <f>IF(AD52&lt;&gt;"",MAX($AE$1:AE51)+1,"")</f>
        <v/>
      </c>
      <c r="AF52" s="2">
        <f>IF(A52="coverage",MAX($AF$1:AF51)+1,"")</f>
        <v/>
      </c>
      <c r="AG52" s="2">
        <f>IF(A52="line",IF(COUNTIFS($B$1:B51,B52,$C$1:C51,C52,$A$1:A51,"line")=0,MAX($AG$1:AG51)+1,""),"")</f>
        <v/>
      </c>
    </row>
    <row r="53">
      <c r="W53" s="2">
        <f>IF(A53="line",IF(D53="quote",E53,G53)&amp;"|"&amp;LOWER(TRIM(K53)),"")</f>
        <v/>
      </c>
      <c r="X53" s="2">
        <f>IF(OR(O53="LABOUR",O53="INSTALL"),"LABOUR_ALL",IF(O53="","",O53))</f>
        <v/>
      </c>
      <c r="Y53" s="9">
        <f>IF(AND(A53="line",D53="quote"),SUMIFS($N$2:$N$500,$W$2:$W$500,W53,$D$2:$D$500,"invoice",$A$2:$A$500,"line"),"")</f>
        <v/>
      </c>
      <c r="Z53" s="2">
        <f>IF(AND(A53="line",D53="quote"),COUNTIFS($W$2:$W$500,W53,$D$2:$D$500,"invoice",$A$2:$A$500,"line"),"")</f>
        <v/>
      </c>
      <c r="AA53" s="2">
        <f>IF(AND(A53="line",D53="invoice"),COUNTIFS($W$2:$W$500,W53,$D$2:$D$500,"quote",$A$2:$A$500,"line"),"")</f>
        <v/>
      </c>
      <c r="AB53" s="2">
        <f>IF(A53&lt;&gt;"line","",IF(D53="quote",IF(Z53=0,"quote only",IF(ABS(Y53-N53)&gt;Settings!$B$2,"amount differs","match")),IF(AA53=0,"invoice only","match")))</f>
        <v/>
      </c>
      <c r="AC53" s="2">
        <f>IF(AND(A53="line",AB53&lt;&gt;"match",COUNTIFS($A$2:$A$500,"coverage",$B$2:$B$500,B53,$C$2:$C$500,C53,$D$2:$D$500,"invoice")&gt;0),MAX($AC$1:AC52)+1,"")</f>
        <v/>
      </c>
      <c r="AD53" s="2">
        <f>IF(A53&lt;&gt;"line","",IF(O53="UNMAPPED","no mapping rule",IF(P53="L","low confidence","")))</f>
        <v/>
      </c>
      <c r="AE53" s="2">
        <f>IF(AD53&lt;&gt;"",MAX($AE$1:AE52)+1,"")</f>
        <v/>
      </c>
      <c r="AF53" s="2">
        <f>IF(A53="coverage",MAX($AF$1:AF52)+1,"")</f>
        <v/>
      </c>
      <c r="AG53" s="2">
        <f>IF(A53="line",IF(COUNTIFS($B$1:B52,B53,$C$1:C52,C53,$A$1:A52,"line")=0,MAX($AG$1:AG52)+1,""),"")</f>
        <v/>
      </c>
    </row>
    <row r="54">
      <c r="W54" s="2">
        <f>IF(A54="line",IF(D54="quote",E54,G54)&amp;"|"&amp;LOWER(TRIM(K54)),"")</f>
        <v/>
      </c>
      <c r="X54" s="2">
        <f>IF(OR(O54="LABOUR",O54="INSTALL"),"LABOUR_ALL",IF(O54="","",O54))</f>
        <v/>
      </c>
      <c r="Y54" s="9">
        <f>IF(AND(A54="line",D54="quote"),SUMIFS($N$2:$N$500,$W$2:$W$500,W54,$D$2:$D$500,"invoice",$A$2:$A$500,"line"),"")</f>
        <v/>
      </c>
      <c r="Z54" s="2">
        <f>IF(AND(A54="line",D54="quote"),COUNTIFS($W$2:$W$500,W54,$D$2:$D$500,"invoice",$A$2:$A$500,"line"),"")</f>
        <v/>
      </c>
      <c r="AA54" s="2">
        <f>IF(AND(A54="line",D54="invoice"),COUNTIFS($W$2:$W$500,W54,$D$2:$D$500,"quote",$A$2:$A$500,"line"),"")</f>
        <v/>
      </c>
      <c r="AB54" s="2">
        <f>IF(A54&lt;&gt;"line","",IF(D54="quote",IF(Z54=0,"quote only",IF(ABS(Y54-N54)&gt;Settings!$B$2,"amount differs","match")),IF(AA54=0,"invoice only","match")))</f>
        <v/>
      </c>
      <c r="AC54" s="2">
        <f>IF(AND(A54="line",AB54&lt;&gt;"match",COUNTIFS($A$2:$A$500,"coverage",$B$2:$B$500,B54,$C$2:$C$500,C54,$D$2:$D$500,"invoice")&gt;0),MAX($AC$1:AC53)+1,"")</f>
        <v/>
      </c>
      <c r="AD54" s="2">
        <f>IF(A54&lt;&gt;"line","",IF(O54="UNMAPPED","no mapping rule",IF(P54="L","low confidence","")))</f>
        <v/>
      </c>
      <c r="AE54" s="2">
        <f>IF(AD54&lt;&gt;"",MAX($AE$1:AE53)+1,"")</f>
        <v/>
      </c>
      <c r="AF54" s="2">
        <f>IF(A54="coverage",MAX($AF$1:AF53)+1,"")</f>
        <v/>
      </c>
      <c r="AG54" s="2">
        <f>IF(A54="line",IF(COUNTIFS($B$1:B53,B54,$C$1:C53,C54,$A$1:A53,"line")=0,MAX($AG$1:AG53)+1,""),"")</f>
        <v/>
      </c>
    </row>
    <row r="55">
      <c r="W55" s="2">
        <f>IF(A55="line",IF(D55="quote",E55,G55)&amp;"|"&amp;LOWER(TRIM(K55)),"")</f>
        <v/>
      </c>
      <c r="X55" s="2">
        <f>IF(OR(O55="LABOUR",O55="INSTALL"),"LABOUR_ALL",IF(O55="","",O55))</f>
        <v/>
      </c>
      <c r="Y55" s="9">
        <f>IF(AND(A55="line",D55="quote"),SUMIFS($N$2:$N$500,$W$2:$W$500,W55,$D$2:$D$500,"invoice",$A$2:$A$500,"line"),"")</f>
        <v/>
      </c>
      <c r="Z55" s="2">
        <f>IF(AND(A55="line",D55="quote"),COUNTIFS($W$2:$W$500,W55,$D$2:$D$500,"invoice",$A$2:$A$500,"line"),"")</f>
        <v/>
      </c>
      <c r="AA55" s="2">
        <f>IF(AND(A55="line",D55="invoice"),COUNTIFS($W$2:$W$500,W55,$D$2:$D$500,"quote",$A$2:$A$500,"line"),"")</f>
        <v/>
      </c>
      <c r="AB55" s="2">
        <f>IF(A55&lt;&gt;"line","",IF(D55="quote",IF(Z55=0,"quote only",IF(ABS(Y55-N55)&gt;Settings!$B$2,"amount differs","match")),IF(AA55=0,"invoice only","match")))</f>
        <v/>
      </c>
      <c r="AC55" s="2">
        <f>IF(AND(A55="line",AB55&lt;&gt;"match",COUNTIFS($A$2:$A$500,"coverage",$B$2:$B$500,B55,$C$2:$C$500,C55,$D$2:$D$500,"invoice")&gt;0),MAX($AC$1:AC54)+1,"")</f>
        <v/>
      </c>
      <c r="AD55" s="2">
        <f>IF(A55&lt;&gt;"line","",IF(O55="UNMAPPED","no mapping rule",IF(P55="L","low confidence","")))</f>
        <v/>
      </c>
      <c r="AE55" s="2">
        <f>IF(AD55&lt;&gt;"",MAX($AE$1:AE54)+1,"")</f>
        <v/>
      </c>
      <c r="AF55" s="2">
        <f>IF(A55="coverage",MAX($AF$1:AF54)+1,"")</f>
        <v/>
      </c>
      <c r="AG55" s="2">
        <f>IF(A55="line",IF(COUNTIFS($B$1:B54,B55,$C$1:C54,C55,$A$1:A54,"line")=0,MAX($AG$1:AG54)+1,""),"")</f>
        <v/>
      </c>
    </row>
    <row r="56">
      <c r="W56" s="2">
        <f>IF(A56="line",IF(D56="quote",E56,G56)&amp;"|"&amp;LOWER(TRIM(K56)),"")</f>
        <v/>
      </c>
      <c r="X56" s="2">
        <f>IF(OR(O56="LABOUR",O56="INSTALL"),"LABOUR_ALL",IF(O56="","",O56))</f>
        <v/>
      </c>
      <c r="Y56" s="9">
        <f>IF(AND(A56="line",D56="quote"),SUMIFS($N$2:$N$500,$W$2:$W$500,W56,$D$2:$D$500,"invoice",$A$2:$A$500,"line"),"")</f>
        <v/>
      </c>
      <c r="Z56" s="2">
        <f>IF(AND(A56="line",D56="quote"),COUNTIFS($W$2:$W$500,W56,$D$2:$D$500,"invoice",$A$2:$A$500,"line"),"")</f>
        <v/>
      </c>
      <c r="AA56" s="2">
        <f>IF(AND(A56="line",D56="invoice"),COUNTIFS($W$2:$W$500,W56,$D$2:$D$500,"quote",$A$2:$A$500,"line"),"")</f>
        <v/>
      </c>
      <c r="AB56" s="2">
        <f>IF(A56&lt;&gt;"line","",IF(D56="quote",IF(Z56=0,"quote only",IF(ABS(Y56-N56)&gt;Settings!$B$2,"amount differs","match")),IF(AA56=0,"invoice only","match")))</f>
        <v/>
      </c>
      <c r="AC56" s="2">
        <f>IF(AND(A56="line",AB56&lt;&gt;"match",COUNTIFS($A$2:$A$500,"coverage",$B$2:$B$500,B56,$C$2:$C$500,C56,$D$2:$D$500,"invoice")&gt;0),MAX($AC$1:AC55)+1,"")</f>
        <v/>
      </c>
      <c r="AD56" s="2">
        <f>IF(A56&lt;&gt;"line","",IF(O56="UNMAPPED","no mapping rule",IF(P56="L","low confidence","")))</f>
        <v/>
      </c>
      <c r="AE56" s="2">
        <f>IF(AD56&lt;&gt;"",MAX($AE$1:AE55)+1,"")</f>
        <v/>
      </c>
      <c r="AF56" s="2">
        <f>IF(A56="coverage",MAX($AF$1:AF55)+1,"")</f>
        <v/>
      </c>
      <c r="AG56" s="2">
        <f>IF(A56="line",IF(COUNTIFS($B$1:B55,B56,$C$1:C55,C56,$A$1:A55,"line")=0,MAX($AG$1:AG55)+1,""),"")</f>
        <v/>
      </c>
    </row>
    <row r="57">
      <c r="W57" s="2">
        <f>IF(A57="line",IF(D57="quote",E57,G57)&amp;"|"&amp;LOWER(TRIM(K57)),"")</f>
        <v/>
      </c>
      <c r="X57" s="2">
        <f>IF(OR(O57="LABOUR",O57="INSTALL"),"LABOUR_ALL",IF(O57="","",O57))</f>
        <v/>
      </c>
      <c r="Y57" s="9">
        <f>IF(AND(A57="line",D57="quote"),SUMIFS($N$2:$N$500,$W$2:$W$500,W57,$D$2:$D$500,"invoice",$A$2:$A$500,"line"),"")</f>
        <v/>
      </c>
      <c r="Z57" s="2">
        <f>IF(AND(A57="line",D57="quote"),COUNTIFS($W$2:$W$500,W57,$D$2:$D$500,"invoice",$A$2:$A$500,"line"),"")</f>
        <v/>
      </c>
      <c r="AA57" s="2">
        <f>IF(AND(A57="line",D57="invoice"),COUNTIFS($W$2:$W$500,W57,$D$2:$D$500,"quote",$A$2:$A$500,"line"),"")</f>
        <v/>
      </c>
      <c r="AB57" s="2">
        <f>IF(A57&lt;&gt;"line","",IF(D57="quote",IF(Z57=0,"quote only",IF(ABS(Y57-N57)&gt;Settings!$B$2,"amount differs","match")),IF(AA57=0,"invoice only","match")))</f>
        <v/>
      </c>
      <c r="AC57" s="2">
        <f>IF(AND(A57="line",AB57&lt;&gt;"match",COUNTIFS($A$2:$A$500,"coverage",$B$2:$B$500,B57,$C$2:$C$500,C57,$D$2:$D$500,"invoice")&gt;0),MAX($AC$1:AC56)+1,"")</f>
        <v/>
      </c>
      <c r="AD57" s="2">
        <f>IF(A57&lt;&gt;"line","",IF(O57="UNMAPPED","no mapping rule",IF(P57="L","low confidence","")))</f>
        <v/>
      </c>
      <c r="AE57" s="2">
        <f>IF(AD57&lt;&gt;"",MAX($AE$1:AE56)+1,"")</f>
        <v/>
      </c>
      <c r="AF57" s="2">
        <f>IF(A57="coverage",MAX($AF$1:AF56)+1,"")</f>
        <v/>
      </c>
      <c r="AG57" s="2">
        <f>IF(A57="line",IF(COUNTIFS($B$1:B56,B57,$C$1:C56,C57,$A$1:A56,"line")=0,MAX($AG$1:AG56)+1,""),"")</f>
        <v/>
      </c>
    </row>
    <row r="58">
      <c r="W58" s="2">
        <f>IF(A58="line",IF(D58="quote",E58,G58)&amp;"|"&amp;LOWER(TRIM(K58)),"")</f>
        <v/>
      </c>
      <c r="X58" s="2">
        <f>IF(OR(O58="LABOUR",O58="INSTALL"),"LABOUR_ALL",IF(O58="","",O58))</f>
        <v/>
      </c>
      <c r="Y58" s="9">
        <f>IF(AND(A58="line",D58="quote"),SUMIFS($N$2:$N$500,$W$2:$W$500,W58,$D$2:$D$500,"invoice",$A$2:$A$500,"line"),"")</f>
        <v/>
      </c>
      <c r="Z58" s="2">
        <f>IF(AND(A58="line",D58="quote"),COUNTIFS($W$2:$W$500,W58,$D$2:$D$500,"invoice",$A$2:$A$500,"line"),"")</f>
        <v/>
      </c>
      <c r="AA58" s="2">
        <f>IF(AND(A58="line",D58="invoice"),COUNTIFS($W$2:$W$500,W58,$D$2:$D$500,"quote",$A$2:$A$500,"line"),"")</f>
        <v/>
      </c>
      <c r="AB58" s="2">
        <f>IF(A58&lt;&gt;"line","",IF(D58="quote",IF(Z58=0,"quote only",IF(ABS(Y58-N58)&gt;Settings!$B$2,"amount differs","match")),IF(AA58=0,"invoice only","match")))</f>
        <v/>
      </c>
      <c r="AC58" s="2">
        <f>IF(AND(A58="line",AB58&lt;&gt;"match",COUNTIFS($A$2:$A$500,"coverage",$B$2:$B$500,B58,$C$2:$C$500,C58,$D$2:$D$500,"invoice")&gt;0),MAX($AC$1:AC57)+1,"")</f>
        <v/>
      </c>
      <c r="AD58" s="2">
        <f>IF(A58&lt;&gt;"line","",IF(O58="UNMAPPED","no mapping rule",IF(P58="L","low confidence","")))</f>
        <v/>
      </c>
      <c r="AE58" s="2">
        <f>IF(AD58&lt;&gt;"",MAX($AE$1:AE57)+1,"")</f>
        <v/>
      </c>
      <c r="AF58" s="2">
        <f>IF(A58="coverage",MAX($AF$1:AF57)+1,"")</f>
        <v/>
      </c>
      <c r="AG58" s="2">
        <f>IF(A58="line",IF(COUNTIFS($B$1:B57,B58,$C$1:C57,C58,$A$1:A57,"line")=0,MAX($AG$1:AG57)+1,""),"")</f>
        <v/>
      </c>
    </row>
    <row r="59">
      <c r="W59" s="2">
        <f>IF(A59="line",IF(D59="quote",E59,G59)&amp;"|"&amp;LOWER(TRIM(K59)),"")</f>
        <v/>
      </c>
      <c r="X59" s="2">
        <f>IF(OR(O59="LABOUR",O59="INSTALL"),"LABOUR_ALL",IF(O59="","",O59))</f>
        <v/>
      </c>
      <c r="Y59" s="9">
        <f>IF(AND(A59="line",D59="quote"),SUMIFS($N$2:$N$500,$W$2:$W$500,W59,$D$2:$D$500,"invoice",$A$2:$A$500,"line"),"")</f>
        <v/>
      </c>
      <c r="Z59" s="2">
        <f>IF(AND(A59="line",D59="quote"),COUNTIFS($W$2:$W$500,W59,$D$2:$D$500,"invoice",$A$2:$A$500,"line"),"")</f>
        <v/>
      </c>
      <c r="AA59" s="2">
        <f>IF(AND(A59="line",D59="invoice"),COUNTIFS($W$2:$W$500,W59,$D$2:$D$500,"quote",$A$2:$A$500,"line"),"")</f>
        <v/>
      </c>
      <c r="AB59" s="2">
        <f>IF(A59&lt;&gt;"line","",IF(D59="quote",IF(Z59=0,"quote only",IF(ABS(Y59-N59)&gt;Settings!$B$2,"amount differs","match")),IF(AA59=0,"invoice only","match")))</f>
        <v/>
      </c>
      <c r="AC59" s="2">
        <f>IF(AND(A59="line",AB59&lt;&gt;"match",COUNTIFS($A$2:$A$500,"coverage",$B$2:$B$500,B59,$C$2:$C$500,C59,$D$2:$D$500,"invoice")&gt;0),MAX($AC$1:AC58)+1,"")</f>
        <v/>
      </c>
      <c r="AD59" s="2">
        <f>IF(A59&lt;&gt;"line","",IF(O59="UNMAPPED","no mapping rule",IF(P59="L","low confidence","")))</f>
        <v/>
      </c>
      <c r="AE59" s="2">
        <f>IF(AD59&lt;&gt;"",MAX($AE$1:AE58)+1,"")</f>
        <v/>
      </c>
      <c r="AF59" s="2">
        <f>IF(A59="coverage",MAX($AF$1:AF58)+1,"")</f>
        <v/>
      </c>
      <c r="AG59" s="2">
        <f>IF(A59="line",IF(COUNTIFS($B$1:B58,B59,$C$1:C58,C59,$A$1:A58,"line")=0,MAX($AG$1:AG58)+1,""),"")</f>
        <v/>
      </c>
    </row>
    <row r="60">
      <c r="W60" s="2">
        <f>IF(A60="line",IF(D60="quote",E60,G60)&amp;"|"&amp;LOWER(TRIM(K60)),"")</f>
        <v/>
      </c>
      <c r="X60" s="2">
        <f>IF(OR(O60="LABOUR",O60="INSTALL"),"LABOUR_ALL",IF(O60="","",O60))</f>
        <v/>
      </c>
      <c r="Y60" s="9">
        <f>IF(AND(A60="line",D60="quote"),SUMIFS($N$2:$N$500,$W$2:$W$500,W60,$D$2:$D$500,"invoice",$A$2:$A$500,"line"),"")</f>
        <v/>
      </c>
      <c r="Z60" s="2">
        <f>IF(AND(A60="line",D60="quote"),COUNTIFS($W$2:$W$500,W60,$D$2:$D$500,"invoice",$A$2:$A$500,"line"),"")</f>
        <v/>
      </c>
      <c r="AA60" s="2">
        <f>IF(AND(A60="line",D60="invoice"),COUNTIFS($W$2:$W$500,W60,$D$2:$D$500,"quote",$A$2:$A$500,"line"),"")</f>
        <v/>
      </c>
      <c r="AB60" s="2">
        <f>IF(A60&lt;&gt;"line","",IF(D60="quote",IF(Z60=0,"quote only",IF(ABS(Y60-N60)&gt;Settings!$B$2,"amount differs","match")),IF(AA60=0,"invoice only","match")))</f>
        <v/>
      </c>
      <c r="AC60" s="2">
        <f>IF(AND(A60="line",AB60&lt;&gt;"match",COUNTIFS($A$2:$A$500,"coverage",$B$2:$B$500,B60,$C$2:$C$500,C60,$D$2:$D$500,"invoice")&gt;0),MAX($AC$1:AC59)+1,"")</f>
        <v/>
      </c>
      <c r="AD60" s="2">
        <f>IF(A60&lt;&gt;"line","",IF(O60="UNMAPPED","no mapping rule",IF(P60="L","low confidence","")))</f>
        <v/>
      </c>
      <c r="AE60" s="2">
        <f>IF(AD60&lt;&gt;"",MAX($AE$1:AE59)+1,"")</f>
        <v/>
      </c>
      <c r="AF60" s="2">
        <f>IF(A60="coverage",MAX($AF$1:AF59)+1,"")</f>
        <v/>
      </c>
      <c r="AG60" s="2">
        <f>IF(A60="line",IF(COUNTIFS($B$1:B59,B60,$C$1:C59,C60,$A$1:A59,"line")=0,MAX($AG$1:AG59)+1,""),"")</f>
        <v/>
      </c>
    </row>
    <row r="61">
      <c r="W61" s="2">
        <f>IF(A61="line",IF(D61="quote",E61,G61)&amp;"|"&amp;LOWER(TRIM(K61)),"")</f>
        <v/>
      </c>
      <c r="X61" s="2">
        <f>IF(OR(O61="LABOUR",O61="INSTALL"),"LABOUR_ALL",IF(O61="","",O61))</f>
        <v/>
      </c>
      <c r="Y61" s="9">
        <f>IF(AND(A61="line",D61="quote"),SUMIFS($N$2:$N$500,$W$2:$W$500,W61,$D$2:$D$500,"invoice",$A$2:$A$500,"line"),"")</f>
        <v/>
      </c>
      <c r="Z61" s="2">
        <f>IF(AND(A61="line",D61="quote"),COUNTIFS($W$2:$W$500,W61,$D$2:$D$500,"invoice",$A$2:$A$500,"line"),"")</f>
        <v/>
      </c>
      <c r="AA61" s="2">
        <f>IF(AND(A61="line",D61="invoice"),COUNTIFS($W$2:$W$500,W61,$D$2:$D$500,"quote",$A$2:$A$500,"line"),"")</f>
        <v/>
      </c>
      <c r="AB61" s="2">
        <f>IF(A61&lt;&gt;"line","",IF(D61="quote",IF(Z61=0,"quote only",IF(ABS(Y61-N61)&gt;Settings!$B$2,"amount differs","match")),IF(AA61=0,"invoice only","match")))</f>
        <v/>
      </c>
      <c r="AC61" s="2">
        <f>IF(AND(A61="line",AB61&lt;&gt;"match",COUNTIFS($A$2:$A$500,"coverage",$B$2:$B$500,B61,$C$2:$C$500,C61,$D$2:$D$500,"invoice")&gt;0),MAX($AC$1:AC60)+1,"")</f>
        <v/>
      </c>
      <c r="AD61" s="2">
        <f>IF(A61&lt;&gt;"line","",IF(O61="UNMAPPED","no mapping rule",IF(P61="L","low confidence","")))</f>
        <v/>
      </c>
      <c r="AE61" s="2">
        <f>IF(AD61&lt;&gt;"",MAX($AE$1:AE60)+1,"")</f>
        <v/>
      </c>
      <c r="AF61" s="2">
        <f>IF(A61="coverage",MAX($AF$1:AF60)+1,"")</f>
        <v/>
      </c>
      <c r="AG61" s="2">
        <f>IF(A61="line",IF(COUNTIFS($B$1:B60,B61,$C$1:C60,C61,$A$1:A60,"line")=0,MAX($AG$1:AG60)+1,""),"")</f>
        <v/>
      </c>
    </row>
    <row r="62">
      <c r="W62" s="2">
        <f>IF(A62="line",IF(D62="quote",E62,G62)&amp;"|"&amp;LOWER(TRIM(K62)),"")</f>
        <v/>
      </c>
      <c r="X62" s="2">
        <f>IF(OR(O62="LABOUR",O62="INSTALL"),"LABOUR_ALL",IF(O62="","",O62))</f>
        <v/>
      </c>
      <c r="Y62" s="9">
        <f>IF(AND(A62="line",D62="quote"),SUMIFS($N$2:$N$500,$W$2:$W$500,W62,$D$2:$D$500,"invoice",$A$2:$A$500,"line"),"")</f>
        <v/>
      </c>
      <c r="Z62" s="2">
        <f>IF(AND(A62="line",D62="quote"),COUNTIFS($W$2:$W$500,W62,$D$2:$D$500,"invoice",$A$2:$A$500,"line"),"")</f>
        <v/>
      </c>
      <c r="AA62" s="2">
        <f>IF(AND(A62="line",D62="invoice"),COUNTIFS($W$2:$W$500,W62,$D$2:$D$500,"quote",$A$2:$A$500,"line"),"")</f>
        <v/>
      </c>
      <c r="AB62" s="2">
        <f>IF(A62&lt;&gt;"line","",IF(D62="quote",IF(Z62=0,"quote only",IF(ABS(Y62-N62)&gt;Settings!$B$2,"amount differs","match")),IF(AA62=0,"invoice only","match")))</f>
        <v/>
      </c>
      <c r="AC62" s="2">
        <f>IF(AND(A62="line",AB62&lt;&gt;"match",COUNTIFS($A$2:$A$500,"coverage",$B$2:$B$500,B62,$C$2:$C$500,C62,$D$2:$D$500,"invoice")&gt;0),MAX($AC$1:AC61)+1,"")</f>
        <v/>
      </c>
      <c r="AD62" s="2">
        <f>IF(A62&lt;&gt;"line","",IF(O62="UNMAPPED","no mapping rule",IF(P62="L","low confidence","")))</f>
        <v/>
      </c>
      <c r="AE62" s="2">
        <f>IF(AD62&lt;&gt;"",MAX($AE$1:AE61)+1,"")</f>
        <v/>
      </c>
      <c r="AF62" s="2">
        <f>IF(A62="coverage",MAX($AF$1:AF61)+1,"")</f>
        <v/>
      </c>
      <c r="AG62" s="2">
        <f>IF(A62="line",IF(COUNTIFS($B$1:B61,B62,$C$1:C61,C62,$A$1:A61,"line")=0,MAX($AG$1:AG61)+1,""),"")</f>
        <v/>
      </c>
    </row>
    <row r="63">
      <c r="W63" s="2">
        <f>IF(A63="line",IF(D63="quote",E63,G63)&amp;"|"&amp;LOWER(TRIM(K63)),"")</f>
        <v/>
      </c>
      <c r="X63" s="2">
        <f>IF(OR(O63="LABOUR",O63="INSTALL"),"LABOUR_ALL",IF(O63="","",O63))</f>
        <v/>
      </c>
      <c r="Y63" s="9">
        <f>IF(AND(A63="line",D63="quote"),SUMIFS($N$2:$N$500,$W$2:$W$500,W63,$D$2:$D$500,"invoice",$A$2:$A$500,"line"),"")</f>
        <v/>
      </c>
      <c r="Z63" s="2">
        <f>IF(AND(A63="line",D63="quote"),COUNTIFS($W$2:$W$500,W63,$D$2:$D$500,"invoice",$A$2:$A$500,"line"),"")</f>
        <v/>
      </c>
      <c r="AA63" s="2">
        <f>IF(AND(A63="line",D63="invoice"),COUNTIFS($W$2:$W$500,W63,$D$2:$D$500,"quote",$A$2:$A$500,"line"),"")</f>
        <v/>
      </c>
      <c r="AB63" s="2">
        <f>IF(A63&lt;&gt;"line","",IF(D63="quote",IF(Z63=0,"quote only",IF(ABS(Y63-N63)&gt;Settings!$B$2,"amount differs","match")),IF(AA63=0,"invoice only","match")))</f>
        <v/>
      </c>
      <c r="AC63" s="2">
        <f>IF(AND(A63="line",AB63&lt;&gt;"match",COUNTIFS($A$2:$A$500,"coverage",$B$2:$B$500,B63,$C$2:$C$500,C63,$D$2:$D$500,"invoice")&gt;0),MAX($AC$1:AC62)+1,"")</f>
        <v/>
      </c>
      <c r="AD63" s="2">
        <f>IF(A63&lt;&gt;"line","",IF(O63="UNMAPPED","no mapping rule",IF(P63="L","low confidence","")))</f>
        <v/>
      </c>
      <c r="AE63" s="2">
        <f>IF(AD63&lt;&gt;"",MAX($AE$1:AE62)+1,"")</f>
        <v/>
      </c>
      <c r="AF63" s="2">
        <f>IF(A63="coverage",MAX($AF$1:AF62)+1,"")</f>
        <v/>
      </c>
      <c r="AG63" s="2">
        <f>IF(A63="line",IF(COUNTIFS($B$1:B62,B63,$C$1:C62,C63,$A$1:A62,"line")=0,MAX($AG$1:AG62)+1,""),"")</f>
        <v/>
      </c>
    </row>
    <row r="64">
      <c r="W64" s="2">
        <f>IF(A64="line",IF(D64="quote",E64,G64)&amp;"|"&amp;LOWER(TRIM(K64)),"")</f>
        <v/>
      </c>
      <c r="X64" s="2">
        <f>IF(OR(O64="LABOUR",O64="INSTALL"),"LABOUR_ALL",IF(O64="","",O64))</f>
        <v/>
      </c>
      <c r="Y64" s="9">
        <f>IF(AND(A64="line",D64="quote"),SUMIFS($N$2:$N$500,$W$2:$W$500,W64,$D$2:$D$500,"invoice",$A$2:$A$500,"line"),"")</f>
        <v/>
      </c>
      <c r="Z64" s="2">
        <f>IF(AND(A64="line",D64="quote"),COUNTIFS($W$2:$W$500,W64,$D$2:$D$500,"invoice",$A$2:$A$500,"line"),"")</f>
        <v/>
      </c>
      <c r="AA64" s="2">
        <f>IF(AND(A64="line",D64="invoice"),COUNTIFS($W$2:$W$500,W64,$D$2:$D$500,"quote",$A$2:$A$500,"line"),"")</f>
        <v/>
      </c>
      <c r="AB64" s="2">
        <f>IF(A64&lt;&gt;"line","",IF(D64="quote",IF(Z64=0,"quote only",IF(ABS(Y64-N64)&gt;Settings!$B$2,"amount differs","match")),IF(AA64=0,"invoice only","match")))</f>
        <v/>
      </c>
      <c r="AC64" s="2">
        <f>IF(AND(A64="line",AB64&lt;&gt;"match",COUNTIFS($A$2:$A$500,"coverage",$B$2:$B$500,B64,$C$2:$C$500,C64,$D$2:$D$500,"invoice")&gt;0),MAX($AC$1:AC63)+1,"")</f>
        <v/>
      </c>
      <c r="AD64" s="2">
        <f>IF(A64&lt;&gt;"line","",IF(O64="UNMAPPED","no mapping rule",IF(P64="L","low confidence","")))</f>
        <v/>
      </c>
      <c r="AE64" s="2">
        <f>IF(AD64&lt;&gt;"",MAX($AE$1:AE63)+1,"")</f>
        <v/>
      </c>
      <c r="AF64" s="2">
        <f>IF(A64="coverage",MAX($AF$1:AF63)+1,"")</f>
        <v/>
      </c>
      <c r="AG64" s="2">
        <f>IF(A64="line",IF(COUNTIFS($B$1:B63,B64,$C$1:C63,C64,$A$1:A63,"line")=0,MAX($AG$1:AG63)+1,""),"")</f>
        <v/>
      </c>
    </row>
    <row r="65">
      <c r="W65" s="2">
        <f>IF(A65="line",IF(D65="quote",E65,G65)&amp;"|"&amp;LOWER(TRIM(K65)),"")</f>
        <v/>
      </c>
      <c r="X65" s="2">
        <f>IF(OR(O65="LABOUR",O65="INSTALL"),"LABOUR_ALL",IF(O65="","",O65))</f>
        <v/>
      </c>
      <c r="Y65" s="9">
        <f>IF(AND(A65="line",D65="quote"),SUMIFS($N$2:$N$500,$W$2:$W$500,W65,$D$2:$D$500,"invoice",$A$2:$A$500,"line"),"")</f>
        <v/>
      </c>
      <c r="Z65" s="2">
        <f>IF(AND(A65="line",D65="quote"),COUNTIFS($W$2:$W$500,W65,$D$2:$D$500,"invoice",$A$2:$A$500,"line"),"")</f>
        <v/>
      </c>
      <c r="AA65" s="2">
        <f>IF(AND(A65="line",D65="invoice"),COUNTIFS($W$2:$W$500,W65,$D$2:$D$500,"quote",$A$2:$A$500,"line"),"")</f>
        <v/>
      </c>
      <c r="AB65" s="2">
        <f>IF(A65&lt;&gt;"line","",IF(D65="quote",IF(Z65=0,"quote only",IF(ABS(Y65-N65)&gt;Settings!$B$2,"amount differs","match")),IF(AA65=0,"invoice only","match")))</f>
        <v/>
      </c>
      <c r="AC65" s="2">
        <f>IF(AND(A65="line",AB65&lt;&gt;"match",COUNTIFS($A$2:$A$500,"coverage",$B$2:$B$500,B65,$C$2:$C$500,C65,$D$2:$D$500,"invoice")&gt;0),MAX($AC$1:AC64)+1,"")</f>
        <v/>
      </c>
      <c r="AD65" s="2">
        <f>IF(A65&lt;&gt;"line","",IF(O65="UNMAPPED","no mapping rule",IF(P65="L","low confidence","")))</f>
        <v/>
      </c>
      <c r="AE65" s="2">
        <f>IF(AD65&lt;&gt;"",MAX($AE$1:AE64)+1,"")</f>
        <v/>
      </c>
      <c r="AF65" s="2">
        <f>IF(A65="coverage",MAX($AF$1:AF64)+1,"")</f>
        <v/>
      </c>
      <c r="AG65" s="2">
        <f>IF(A65="line",IF(COUNTIFS($B$1:B64,B65,$C$1:C64,C65,$A$1:A64,"line")=0,MAX($AG$1:AG64)+1,""),"")</f>
        <v/>
      </c>
    </row>
    <row r="66">
      <c r="W66" s="2">
        <f>IF(A66="line",IF(D66="quote",E66,G66)&amp;"|"&amp;LOWER(TRIM(K66)),"")</f>
        <v/>
      </c>
      <c r="X66" s="2">
        <f>IF(OR(O66="LABOUR",O66="INSTALL"),"LABOUR_ALL",IF(O66="","",O66))</f>
        <v/>
      </c>
      <c r="Y66" s="9">
        <f>IF(AND(A66="line",D66="quote"),SUMIFS($N$2:$N$500,$W$2:$W$500,W66,$D$2:$D$500,"invoice",$A$2:$A$500,"line"),"")</f>
        <v/>
      </c>
      <c r="Z66" s="2">
        <f>IF(AND(A66="line",D66="quote"),COUNTIFS($W$2:$W$500,W66,$D$2:$D$500,"invoice",$A$2:$A$500,"line"),"")</f>
        <v/>
      </c>
      <c r="AA66" s="2">
        <f>IF(AND(A66="line",D66="invoice"),COUNTIFS($W$2:$W$500,W66,$D$2:$D$500,"quote",$A$2:$A$500,"line"),"")</f>
        <v/>
      </c>
      <c r="AB66" s="2">
        <f>IF(A66&lt;&gt;"line","",IF(D66="quote",IF(Z66=0,"quote only",IF(ABS(Y66-N66)&gt;Settings!$B$2,"amount differs","match")),IF(AA66=0,"invoice only","match")))</f>
        <v/>
      </c>
      <c r="AC66" s="2">
        <f>IF(AND(A66="line",AB66&lt;&gt;"match",COUNTIFS($A$2:$A$500,"coverage",$B$2:$B$500,B66,$C$2:$C$500,C66,$D$2:$D$500,"invoice")&gt;0),MAX($AC$1:AC65)+1,"")</f>
        <v/>
      </c>
      <c r="AD66" s="2">
        <f>IF(A66&lt;&gt;"line","",IF(O66="UNMAPPED","no mapping rule",IF(P66="L","low confidence","")))</f>
        <v/>
      </c>
      <c r="AE66" s="2">
        <f>IF(AD66&lt;&gt;"",MAX($AE$1:AE65)+1,"")</f>
        <v/>
      </c>
      <c r="AF66" s="2">
        <f>IF(A66="coverage",MAX($AF$1:AF65)+1,"")</f>
        <v/>
      </c>
      <c r="AG66" s="2">
        <f>IF(A66="line",IF(COUNTIFS($B$1:B65,B66,$C$1:C65,C66,$A$1:A65,"line")=0,MAX($AG$1:AG65)+1,""),"")</f>
        <v/>
      </c>
    </row>
    <row r="67">
      <c r="W67" s="2">
        <f>IF(A67="line",IF(D67="quote",E67,G67)&amp;"|"&amp;LOWER(TRIM(K67)),"")</f>
        <v/>
      </c>
      <c r="X67" s="2">
        <f>IF(OR(O67="LABOUR",O67="INSTALL"),"LABOUR_ALL",IF(O67="","",O67))</f>
        <v/>
      </c>
      <c r="Y67" s="9">
        <f>IF(AND(A67="line",D67="quote"),SUMIFS($N$2:$N$500,$W$2:$W$500,W67,$D$2:$D$500,"invoice",$A$2:$A$500,"line"),"")</f>
        <v/>
      </c>
      <c r="Z67" s="2">
        <f>IF(AND(A67="line",D67="quote"),COUNTIFS($W$2:$W$500,W67,$D$2:$D$500,"invoice",$A$2:$A$500,"line"),"")</f>
        <v/>
      </c>
      <c r="AA67" s="2">
        <f>IF(AND(A67="line",D67="invoice"),COUNTIFS($W$2:$W$500,W67,$D$2:$D$500,"quote",$A$2:$A$500,"line"),"")</f>
        <v/>
      </c>
      <c r="AB67" s="2">
        <f>IF(A67&lt;&gt;"line","",IF(D67="quote",IF(Z67=0,"quote only",IF(ABS(Y67-N67)&gt;Settings!$B$2,"amount differs","match")),IF(AA67=0,"invoice only","match")))</f>
        <v/>
      </c>
      <c r="AC67" s="2">
        <f>IF(AND(A67="line",AB67&lt;&gt;"match",COUNTIFS($A$2:$A$500,"coverage",$B$2:$B$500,B67,$C$2:$C$500,C67,$D$2:$D$500,"invoice")&gt;0),MAX($AC$1:AC66)+1,"")</f>
        <v/>
      </c>
      <c r="AD67" s="2">
        <f>IF(A67&lt;&gt;"line","",IF(O67="UNMAPPED","no mapping rule",IF(P67="L","low confidence","")))</f>
        <v/>
      </c>
      <c r="AE67" s="2">
        <f>IF(AD67&lt;&gt;"",MAX($AE$1:AE66)+1,"")</f>
        <v/>
      </c>
      <c r="AF67" s="2">
        <f>IF(A67="coverage",MAX($AF$1:AF66)+1,"")</f>
        <v/>
      </c>
      <c r="AG67" s="2">
        <f>IF(A67="line",IF(COUNTIFS($B$1:B66,B67,$C$1:C66,C67,$A$1:A66,"line")=0,MAX($AG$1:AG66)+1,""),"")</f>
        <v/>
      </c>
    </row>
    <row r="68">
      <c r="W68" s="2">
        <f>IF(A68="line",IF(D68="quote",E68,G68)&amp;"|"&amp;LOWER(TRIM(K68)),"")</f>
        <v/>
      </c>
      <c r="X68" s="2">
        <f>IF(OR(O68="LABOUR",O68="INSTALL"),"LABOUR_ALL",IF(O68="","",O68))</f>
        <v/>
      </c>
      <c r="Y68" s="9">
        <f>IF(AND(A68="line",D68="quote"),SUMIFS($N$2:$N$500,$W$2:$W$500,W68,$D$2:$D$500,"invoice",$A$2:$A$500,"line"),"")</f>
        <v/>
      </c>
      <c r="Z68" s="2">
        <f>IF(AND(A68="line",D68="quote"),COUNTIFS($W$2:$W$500,W68,$D$2:$D$500,"invoice",$A$2:$A$500,"line"),"")</f>
        <v/>
      </c>
      <c r="AA68" s="2">
        <f>IF(AND(A68="line",D68="invoice"),COUNTIFS($W$2:$W$500,W68,$D$2:$D$500,"quote",$A$2:$A$500,"line"),"")</f>
        <v/>
      </c>
      <c r="AB68" s="2">
        <f>IF(A68&lt;&gt;"line","",IF(D68="quote",IF(Z68=0,"quote only",IF(ABS(Y68-N68)&gt;Settings!$B$2,"amount differs","match")),IF(AA68=0,"invoice only","match")))</f>
        <v/>
      </c>
      <c r="AC68" s="2">
        <f>IF(AND(A68="line",AB68&lt;&gt;"match",COUNTIFS($A$2:$A$500,"coverage",$B$2:$B$500,B68,$C$2:$C$500,C68,$D$2:$D$500,"invoice")&gt;0),MAX($AC$1:AC67)+1,"")</f>
        <v/>
      </c>
      <c r="AD68" s="2">
        <f>IF(A68&lt;&gt;"line","",IF(O68="UNMAPPED","no mapping rule",IF(P68="L","low confidence","")))</f>
        <v/>
      </c>
      <c r="AE68" s="2">
        <f>IF(AD68&lt;&gt;"",MAX($AE$1:AE67)+1,"")</f>
        <v/>
      </c>
      <c r="AF68" s="2">
        <f>IF(A68="coverage",MAX($AF$1:AF67)+1,"")</f>
        <v/>
      </c>
      <c r="AG68" s="2">
        <f>IF(A68="line",IF(COUNTIFS($B$1:B67,B68,$C$1:C67,C68,$A$1:A67,"line")=0,MAX($AG$1:AG67)+1,""),"")</f>
        <v/>
      </c>
    </row>
    <row r="69">
      <c r="W69" s="2">
        <f>IF(A69="line",IF(D69="quote",E69,G69)&amp;"|"&amp;LOWER(TRIM(K69)),"")</f>
        <v/>
      </c>
      <c r="X69" s="2">
        <f>IF(OR(O69="LABOUR",O69="INSTALL"),"LABOUR_ALL",IF(O69="","",O69))</f>
        <v/>
      </c>
      <c r="Y69" s="9">
        <f>IF(AND(A69="line",D69="quote"),SUMIFS($N$2:$N$500,$W$2:$W$500,W69,$D$2:$D$500,"invoice",$A$2:$A$500,"line"),"")</f>
        <v/>
      </c>
      <c r="Z69" s="2">
        <f>IF(AND(A69="line",D69="quote"),COUNTIFS($W$2:$W$500,W69,$D$2:$D$500,"invoice",$A$2:$A$500,"line"),"")</f>
        <v/>
      </c>
      <c r="AA69" s="2">
        <f>IF(AND(A69="line",D69="invoice"),COUNTIFS($W$2:$W$500,W69,$D$2:$D$500,"quote",$A$2:$A$500,"line"),"")</f>
        <v/>
      </c>
      <c r="AB69" s="2">
        <f>IF(A69&lt;&gt;"line","",IF(D69="quote",IF(Z69=0,"quote only",IF(ABS(Y69-N69)&gt;Settings!$B$2,"amount differs","match")),IF(AA69=0,"invoice only","match")))</f>
        <v/>
      </c>
      <c r="AC69" s="2">
        <f>IF(AND(A69="line",AB69&lt;&gt;"match",COUNTIFS($A$2:$A$500,"coverage",$B$2:$B$500,B69,$C$2:$C$500,C69,$D$2:$D$500,"invoice")&gt;0),MAX($AC$1:AC68)+1,"")</f>
        <v/>
      </c>
      <c r="AD69" s="2">
        <f>IF(A69&lt;&gt;"line","",IF(O69="UNMAPPED","no mapping rule",IF(P69="L","low confidence","")))</f>
        <v/>
      </c>
      <c r="AE69" s="2">
        <f>IF(AD69&lt;&gt;"",MAX($AE$1:AE68)+1,"")</f>
        <v/>
      </c>
      <c r="AF69" s="2">
        <f>IF(A69="coverage",MAX($AF$1:AF68)+1,"")</f>
        <v/>
      </c>
      <c r="AG69" s="2">
        <f>IF(A69="line",IF(COUNTIFS($B$1:B68,B69,$C$1:C68,C69,$A$1:A68,"line")=0,MAX($AG$1:AG68)+1,""),"")</f>
        <v/>
      </c>
    </row>
    <row r="70">
      <c r="W70" s="2">
        <f>IF(A70="line",IF(D70="quote",E70,G70)&amp;"|"&amp;LOWER(TRIM(K70)),"")</f>
        <v/>
      </c>
      <c r="X70" s="2">
        <f>IF(OR(O70="LABOUR",O70="INSTALL"),"LABOUR_ALL",IF(O70="","",O70))</f>
        <v/>
      </c>
      <c r="Y70" s="9">
        <f>IF(AND(A70="line",D70="quote"),SUMIFS($N$2:$N$500,$W$2:$W$500,W70,$D$2:$D$500,"invoice",$A$2:$A$500,"line"),"")</f>
        <v/>
      </c>
      <c r="Z70" s="2">
        <f>IF(AND(A70="line",D70="quote"),COUNTIFS($W$2:$W$500,W70,$D$2:$D$500,"invoice",$A$2:$A$500,"line"),"")</f>
        <v/>
      </c>
      <c r="AA70" s="2">
        <f>IF(AND(A70="line",D70="invoice"),COUNTIFS($W$2:$W$500,W70,$D$2:$D$500,"quote",$A$2:$A$500,"line"),"")</f>
        <v/>
      </c>
      <c r="AB70" s="2">
        <f>IF(A70&lt;&gt;"line","",IF(D70="quote",IF(Z70=0,"quote only",IF(ABS(Y70-N70)&gt;Settings!$B$2,"amount differs","match")),IF(AA70=0,"invoice only","match")))</f>
        <v/>
      </c>
      <c r="AC70" s="2">
        <f>IF(AND(A70="line",AB70&lt;&gt;"match",COUNTIFS($A$2:$A$500,"coverage",$B$2:$B$500,B70,$C$2:$C$500,C70,$D$2:$D$500,"invoice")&gt;0),MAX($AC$1:AC69)+1,"")</f>
        <v/>
      </c>
      <c r="AD70" s="2">
        <f>IF(A70&lt;&gt;"line","",IF(O70="UNMAPPED","no mapping rule",IF(P70="L","low confidence","")))</f>
        <v/>
      </c>
      <c r="AE70" s="2">
        <f>IF(AD70&lt;&gt;"",MAX($AE$1:AE69)+1,"")</f>
        <v/>
      </c>
      <c r="AF70" s="2">
        <f>IF(A70="coverage",MAX($AF$1:AF69)+1,"")</f>
        <v/>
      </c>
      <c r="AG70" s="2">
        <f>IF(A70="line",IF(COUNTIFS($B$1:B69,B70,$C$1:C69,C70,$A$1:A69,"line")=0,MAX($AG$1:AG69)+1,""),"")</f>
        <v/>
      </c>
    </row>
    <row r="71">
      <c r="W71" s="2">
        <f>IF(A71="line",IF(D71="quote",E71,G71)&amp;"|"&amp;LOWER(TRIM(K71)),"")</f>
        <v/>
      </c>
      <c r="X71" s="2">
        <f>IF(OR(O71="LABOUR",O71="INSTALL"),"LABOUR_ALL",IF(O71="","",O71))</f>
        <v/>
      </c>
      <c r="Y71" s="9">
        <f>IF(AND(A71="line",D71="quote"),SUMIFS($N$2:$N$500,$W$2:$W$500,W71,$D$2:$D$500,"invoice",$A$2:$A$500,"line"),"")</f>
        <v/>
      </c>
      <c r="Z71" s="2">
        <f>IF(AND(A71="line",D71="quote"),COUNTIFS($W$2:$W$500,W71,$D$2:$D$500,"invoice",$A$2:$A$500,"line"),"")</f>
        <v/>
      </c>
      <c r="AA71" s="2">
        <f>IF(AND(A71="line",D71="invoice"),COUNTIFS($W$2:$W$500,W71,$D$2:$D$500,"quote",$A$2:$A$500,"line"),"")</f>
        <v/>
      </c>
      <c r="AB71" s="2">
        <f>IF(A71&lt;&gt;"line","",IF(D71="quote",IF(Z71=0,"quote only",IF(ABS(Y71-N71)&gt;Settings!$B$2,"amount differs","match")),IF(AA71=0,"invoice only","match")))</f>
        <v/>
      </c>
      <c r="AC71" s="2">
        <f>IF(AND(A71="line",AB71&lt;&gt;"match",COUNTIFS($A$2:$A$500,"coverage",$B$2:$B$500,B71,$C$2:$C$500,C71,$D$2:$D$500,"invoice")&gt;0),MAX($AC$1:AC70)+1,"")</f>
        <v/>
      </c>
      <c r="AD71" s="2">
        <f>IF(A71&lt;&gt;"line","",IF(O71="UNMAPPED","no mapping rule",IF(P71="L","low confidence","")))</f>
        <v/>
      </c>
      <c r="AE71" s="2">
        <f>IF(AD71&lt;&gt;"",MAX($AE$1:AE70)+1,"")</f>
        <v/>
      </c>
      <c r="AF71" s="2">
        <f>IF(A71="coverage",MAX($AF$1:AF70)+1,"")</f>
        <v/>
      </c>
      <c r="AG71" s="2">
        <f>IF(A71="line",IF(COUNTIFS($B$1:B70,B71,$C$1:C70,C71,$A$1:A70,"line")=0,MAX($AG$1:AG70)+1,""),"")</f>
        <v/>
      </c>
    </row>
    <row r="72">
      <c r="W72" s="2">
        <f>IF(A72="line",IF(D72="quote",E72,G72)&amp;"|"&amp;LOWER(TRIM(K72)),"")</f>
        <v/>
      </c>
      <c r="X72" s="2">
        <f>IF(OR(O72="LABOUR",O72="INSTALL"),"LABOUR_ALL",IF(O72="","",O72))</f>
        <v/>
      </c>
      <c r="Y72" s="9">
        <f>IF(AND(A72="line",D72="quote"),SUMIFS($N$2:$N$500,$W$2:$W$500,W72,$D$2:$D$500,"invoice",$A$2:$A$500,"line"),"")</f>
        <v/>
      </c>
      <c r="Z72" s="2">
        <f>IF(AND(A72="line",D72="quote"),COUNTIFS($W$2:$W$500,W72,$D$2:$D$500,"invoice",$A$2:$A$500,"line"),"")</f>
        <v/>
      </c>
      <c r="AA72" s="2">
        <f>IF(AND(A72="line",D72="invoice"),COUNTIFS($W$2:$W$500,W72,$D$2:$D$500,"quote",$A$2:$A$500,"line"),"")</f>
        <v/>
      </c>
      <c r="AB72" s="2">
        <f>IF(A72&lt;&gt;"line","",IF(D72="quote",IF(Z72=0,"quote only",IF(ABS(Y72-N72)&gt;Settings!$B$2,"amount differs","match")),IF(AA72=0,"invoice only","match")))</f>
        <v/>
      </c>
      <c r="AC72" s="2">
        <f>IF(AND(A72="line",AB72&lt;&gt;"match",COUNTIFS($A$2:$A$500,"coverage",$B$2:$B$500,B72,$C$2:$C$500,C72,$D$2:$D$500,"invoice")&gt;0),MAX($AC$1:AC71)+1,"")</f>
        <v/>
      </c>
      <c r="AD72" s="2">
        <f>IF(A72&lt;&gt;"line","",IF(O72="UNMAPPED","no mapping rule",IF(P72="L","low confidence","")))</f>
        <v/>
      </c>
      <c r="AE72" s="2">
        <f>IF(AD72&lt;&gt;"",MAX($AE$1:AE71)+1,"")</f>
        <v/>
      </c>
      <c r="AF72" s="2">
        <f>IF(A72="coverage",MAX($AF$1:AF71)+1,"")</f>
        <v/>
      </c>
      <c r="AG72" s="2">
        <f>IF(A72="line",IF(COUNTIFS($B$1:B71,B72,$C$1:C71,C72,$A$1:A71,"line")=0,MAX($AG$1:AG71)+1,""),"")</f>
        <v/>
      </c>
    </row>
    <row r="73">
      <c r="W73" s="2">
        <f>IF(A73="line",IF(D73="quote",E73,G73)&amp;"|"&amp;LOWER(TRIM(K73)),"")</f>
        <v/>
      </c>
      <c r="X73" s="2">
        <f>IF(OR(O73="LABOUR",O73="INSTALL"),"LABOUR_ALL",IF(O73="","",O73))</f>
        <v/>
      </c>
      <c r="Y73" s="9">
        <f>IF(AND(A73="line",D73="quote"),SUMIFS($N$2:$N$500,$W$2:$W$500,W73,$D$2:$D$500,"invoice",$A$2:$A$500,"line"),"")</f>
        <v/>
      </c>
      <c r="Z73" s="2">
        <f>IF(AND(A73="line",D73="quote"),COUNTIFS($W$2:$W$500,W73,$D$2:$D$500,"invoice",$A$2:$A$500,"line"),"")</f>
        <v/>
      </c>
      <c r="AA73" s="2">
        <f>IF(AND(A73="line",D73="invoice"),COUNTIFS($W$2:$W$500,W73,$D$2:$D$500,"quote",$A$2:$A$500,"line"),"")</f>
        <v/>
      </c>
      <c r="AB73" s="2">
        <f>IF(A73&lt;&gt;"line","",IF(D73="quote",IF(Z73=0,"quote only",IF(ABS(Y73-N73)&gt;Settings!$B$2,"amount differs","match")),IF(AA73=0,"invoice only","match")))</f>
        <v/>
      </c>
      <c r="AC73" s="2">
        <f>IF(AND(A73="line",AB73&lt;&gt;"match",COUNTIFS($A$2:$A$500,"coverage",$B$2:$B$500,B73,$C$2:$C$500,C73,$D$2:$D$500,"invoice")&gt;0),MAX($AC$1:AC72)+1,"")</f>
        <v/>
      </c>
      <c r="AD73" s="2">
        <f>IF(A73&lt;&gt;"line","",IF(O73="UNMAPPED","no mapping rule",IF(P73="L","low confidence","")))</f>
        <v/>
      </c>
      <c r="AE73" s="2">
        <f>IF(AD73&lt;&gt;"",MAX($AE$1:AE72)+1,"")</f>
        <v/>
      </c>
      <c r="AF73" s="2">
        <f>IF(A73="coverage",MAX($AF$1:AF72)+1,"")</f>
        <v/>
      </c>
      <c r="AG73" s="2">
        <f>IF(A73="line",IF(COUNTIFS($B$1:B72,B73,$C$1:C72,C73,$A$1:A72,"line")=0,MAX($AG$1:AG72)+1,""),"")</f>
        <v/>
      </c>
    </row>
    <row r="74">
      <c r="W74" s="2">
        <f>IF(A74="line",IF(D74="quote",E74,G74)&amp;"|"&amp;LOWER(TRIM(K74)),"")</f>
        <v/>
      </c>
      <c r="X74" s="2">
        <f>IF(OR(O74="LABOUR",O74="INSTALL"),"LABOUR_ALL",IF(O74="","",O74))</f>
        <v/>
      </c>
      <c r="Y74" s="9">
        <f>IF(AND(A74="line",D74="quote"),SUMIFS($N$2:$N$500,$W$2:$W$500,W74,$D$2:$D$500,"invoice",$A$2:$A$500,"line"),"")</f>
        <v/>
      </c>
      <c r="Z74" s="2">
        <f>IF(AND(A74="line",D74="quote"),COUNTIFS($W$2:$W$500,W74,$D$2:$D$500,"invoice",$A$2:$A$500,"line"),"")</f>
        <v/>
      </c>
      <c r="AA74" s="2">
        <f>IF(AND(A74="line",D74="invoice"),COUNTIFS($W$2:$W$500,W74,$D$2:$D$500,"quote",$A$2:$A$500,"line"),"")</f>
        <v/>
      </c>
      <c r="AB74" s="2">
        <f>IF(A74&lt;&gt;"line","",IF(D74="quote",IF(Z74=0,"quote only",IF(ABS(Y74-N74)&gt;Settings!$B$2,"amount differs","match")),IF(AA74=0,"invoice only","match")))</f>
        <v/>
      </c>
      <c r="AC74" s="2">
        <f>IF(AND(A74="line",AB74&lt;&gt;"match",COUNTIFS($A$2:$A$500,"coverage",$B$2:$B$500,B74,$C$2:$C$500,C74,$D$2:$D$500,"invoice")&gt;0),MAX($AC$1:AC73)+1,"")</f>
        <v/>
      </c>
      <c r="AD74" s="2">
        <f>IF(A74&lt;&gt;"line","",IF(O74="UNMAPPED","no mapping rule",IF(P74="L","low confidence","")))</f>
        <v/>
      </c>
      <c r="AE74" s="2">
        <f>IF(AD74&lt;&gt;"",MAX($AE$1:AE73)+1,"")</f>
        <v/>
      </c>
      <c r="AF74" s="2">
        <f>IF(A74="coverage",MAX($AF$1:AF73)+1,"")</f>
        <v/>
      </c>
      <c r="AG74" s="2">
        <f>IF(A74="line",IF(COUNTIFS($B$1:B73,B74,$C$1:C73,C74,$A$1:A73,"line")=0,MAX($AG$1:AG73)+1,""),"")</f>
        <v/>
      </c>
    </row>
    <row r="75">
      <c r="W75" s="2">
        <f>IF(A75="line",IF(D75="quote",E75,G75)&amp;"|"&amp;LOWER(TRIM(K75)),"")</f>
        <v/>
      </c>
      <c r="X75" s="2">
        <f>IF(OR(O75="LABOUR",O75="INSTALL"),"LABOUR_ALL",IF(O75="","",O75))</f>
        <v/>
      </c>
      <c r="Y75" s="9">
        <f>IF(AND(A75="line",D75="quote"),SUMIFS($N$2:$N$500,$W$2:$W$500,W75,$D$2:$D$500,"invoice",$A$2:$A$500,"line"),"")</f>
        <v/>
      </c>
      <c r="Z75" s="2">
        <f>IF(AND(A75="line",D75="quote"),COUNTIFS($W$2:$W$500,W75,$D$2:$D$500,"invoice",$A$2:$A$500,"line"),"")</f>
        <v/>
      </c>
      <c r="AA75" s="2">
        <f>IF(AND(A75="line",D75="invoice"),COUNTIFS($W$2:$W$500,W75,$D$2:$D$500,"quote",$A$2:$A$500,"line"),"")</f>
        <v/>
      </c>
      <c r="AB75" s="2">
        <f>IF(A75&lt;&gt;"line","",IF(D75="quote",IF(Z75=0,"quote only",IF(ABS(Y75-N75)&gt;Settings!$B$2,"amount differs","match")),IF(AA75=0,"invoice only","match")))</f>
        <v/>
      </c>
      <c r="AC75" s="2">
        <f>IF(AND(A75="line",AB75&lt;&gt;"match",COUNTIFS($A$2:$A$500,"coverage",$B$2:$B$500,B75,$C$2:$C$500,C75,$D$2:$D$500,"invoice")&gt;0),MAX($AC$1:AC74)+1,"")</f>
        <v/>
      </c>
      <c r="AD75" s="2">
        <f>IF(A75&lt;&gt;"line","",IF(O75="UNMAPPED","no mapping rule",IF(P75="L","low confidence","")))</f>
        <v/>
      </c>
      <c r="AE75" s="2">
        <f>IF(AD75&lt;&gt;"",MAX($AE$1:AE74)+1,"")</f>
        <v/>
      </c>
      <c r="AF75" s="2">
        <f>IF(A75="coverage",MAX($AF$1:AF74)+1,"")</f>
        <v/>
      </c>
      <c r="AG75" s="2">
        <f>IF(A75="line",IF(COUNTIFS($B$1:B74,B75,$C$1:C74,C75,$A$1:A74,"line")=0,MAX($AG$1:AG74)+1,""),"")</f>
        <v/>
      </c>
    </row>
    <row r="76">
      <c r="W76" s="2">
        <f>IF(A76="line",IF(D76="quote",E76,G76)&amp;"|"&amp;LOWER(TRIM(K76)),"")</f>
        <v/>
      </c>
      <c r="X76" s="2">
        <f>IF(OR(O76="LABOUR",O76="INSTALL"),"LABOUR_ALL",IF(O76="","",O76))</f>
        <v/>
      </c>
      <c r="Y76" s="9">
        <f>IF(AND(A76="line",D76="quote"),SUMIFS($N$2:$N$500,$W$2:$W$500,W76,$D$2:$D$500,"invoice",$A$2:$A$500,"line"),"")</f>
        <v/>
      </c>
      <c r="Z76" s="2">
        <f>IF(AND(A76="line",D76="quote"),COUNTIFS($W$2:$W$500,W76,$D$2:$D$500,"invoice",$A$2:$A$500,"line"),"")</f>
        <v/>
      </c>
      <c r="AA76" s="2">
        <f>IF(AND(A76="line",D76="invoice"),COUNTIFS($W$2:$W$500,W76,$D$2:$D$500,"quote",$A$2:$A$500,"line"),"")</f>
        <v/>
      </c>
      <c r="AB76" s="2">
        <f>IF(A76&lt;&gt;"line","",IF(D76="quote",IF(Z76=0,"quote only",IF(ABS(Y76-N76)&gt;Settings!$B$2,"amount differs","match")),IF(AA76=0,"invoice only","match")))</f>
        <v/>
      </c>
      <c r="AC76" s="2">
        <f>IF(AND(A76="line",AB76&lt;&gt;"match",COUNTIFS($A$2:$A$500,"coverage",$B$2:$B$500,B76,$C$2:$C$500,C76,$D$2:$D$500,"invoice")&gt;0),MAX($AC$1:AC75)+1,"")</f>
        <v/>
      </c>
      <c r="AD76" s="2">
        <f>IF(A76&lt;&gt;"line","",IF(O76="UNMAPPED","no mapping rule",IF(P76="L","low confidence","")))</f>
        <v/>
      </c>
      <c r="AE76" s="2">
        <f>IF(AD76&lt;&gt;"",MAX($AE$1:AE75)+1,"")</f>
        <v/>
      </c>
      <c r="AF76" s="2">
        <f>IF(A76="coverage",MAX($AF$1:AF75)+1,"")</f>
        <v/>
      </c>
      <c r="AG76" s="2">
        <f>IF(A76="line",IF(COUNTIFS($B$1:B75,B76,$C$1:C75,C76,$A$1:A75,"line")=0,MAX($AG$1:AG75)+1,""),"")</f>
        <v/>
      </c>
    </row>
    <row r="77">
      <c r="W77" s="2">
        <f>IF(A77="line",IF(D77="quote",E77,G77)&amp;"|"&amp;LOWER(TRIM(K77)),"")</f>
        <v/>
      </c>
      <c r="X77" s="2">
        <f>IF(OR(O77="LABOUR",O77="INSTALL"),"LABOUR_ALL",IF(O77="","",O77))</f>
        <v/>
      </c>
      <c r="Y77" s="9">
        <f>IF(AND(A77="line",D77="quote"),SUMIFS($N$2:$N$500,$W$2:$W$500,W77,$D$2:$D$500,"invoice",$A$2:$A$500,"line"),"")</f>
        <v/>
      </c>
      <c r="Z77" s="2">
        <f>IF(AND(A77="line",D77="quote"),COUNTIFS($W$2:$W$500,W77,$D$2:$D$500,"invoice",$A$2:$A$500,"line"),"")</f>
        <v/>
      </c>
      <c r="AA77" s="2">
        <f>IF(AND(A77="line",D77="invoice"),COUNTIFS($W$2:$W$500,W77,$D$2:$D$500,"quote",$A$2:$A$500,"line"),"")</f>
        <v/>
      </c>
      <c r="AB77" s="2">
        <f>IF(A77&lt;&gt;"line","",IF(D77="quote",IF(Z77=0,"quote only",IF(ABS(Y77-N77)&gt;Settings!$B$2,"amount differs","match")),IF(AA77=0,"invoice only","match")))</f>
        <v/>
      </c>
      <c r="AC77" s="2">
        <f>IF(AND(A77="line",AB77&lt;&gt;"match",COUNTIFS($A$2:$A$500,"coverage",$B$2:$B$500,B77,$C$2:$C$500,C77,$D$2:$D$500,"invoice")&gt;0),MAX($AC$1:AC76)+1,"")</f>
        <v/>
      </c>
      <c r="AD77" s="2">
        <f>IF(A77&lt;&gt;"line","",IF(O77="UNMAPPED","no mapping rule",IF(P77="L","low confidence","")))</f>
        <v/>
      </c>
      <c r="AE77" s="2">
        <f>IF(AD77&lt;&gt;"",MAX($AE$1:AE76)+1,"")</f>
        <v/>
      </c>
      <c r="AF77" s="2">
        <f>IF(A77="coverage",MAX($AF$1:AF76)+1,"")</f>
        <v/>
      </c>
      <c r="AG77" s="2">
        <f>IF(A77="line",IF(COUNTIFS($B$1:B76,B77,$C$1:C76,C77,$A$1:A76,"line")=0,MAX($AG$1:AG76)+1,""),"")</f>
        <v/>
      </c>
    </row>
    <row r="78">
      <c r="W78" s="2">
        <f>IF(A78="line",IF(D78="quote",E78,G78)&amp;"|"&amp;LOWER(TRIM(K78)),"")</f>
        <v/>
      </c>
      <c r="X78" s="2">
        <f>IF(OR(O78="LABOUR",O78="INSTALL"),"LABOUR_ALL",IF(O78="","",O78))</f>
        <v/>
      </c>
      <c r="Y78" s="9">
        <f>IF(AND(A78="line",D78="quote"),SUMIFS($N$2:$N$500,$W$2:$W$500,W78,$D$2:$D$500,"invoice",$A$2:$A$500,"line"),"")</f>
        <v/>
      </c>
      <c r="Z78" s="2">
        <f>IF(AND(A78="line",D78="quote"),COUNTIFS($W$2:$W$500,W78,$D$2:$D$500,"invoice",$A$2:$A$500,"line"),"")</f>
        <v/>
      </c>
      <c r="AA78" s="2">
        <f>IF(AND(A78="line",D78="invoice"),COUNTIFS($W$2:$W$500,W78,$D$2:$D$500,"quote",$A$2:$A$500,"line"),"")</f>
        <v/>
      </c>
      <c r="AB78" s="2">
        <f>IF(A78&lt;&gt;"line","",IF(D78="quote",IF(Z78=0,"quote only",IF(ABS(Y78-N78)&gt;Settings!$B$2,"amount differs","match")),IF(AA78=0,"invoice only","match")))</f>
        <v/>
      </c>
      <c r="AC78" s="2">
        <f>IF(AND(A78="line",AB78&lt;&gt;"match",COUNTIFS($A$2:$A$500,"coverage",$B$2:$B$500,B78,$C$2:$C$500,C78,$D$2:$D$500,"invoice")&gt;0),MAX($AC$1:AC77)+1,"")</f>
        <v/>
      </c>
      <c r="AD78" s="2">
        <f>IF(A78&lt;&gt;"line","",IF(O78="UNMAPPED","no mapping rule",IF(P78="L","low confidence","")))</f>
        <v/>
      </c>
      <c r="AE78" s="2">
        <f>IF(AD78&lt;&gt;"",MAX($AE$1:AE77)+1,"")</f>
        <v/>
      </c>
      <c r="AF78" s="2">
        <f>IF(A78="coverage",MAX($AF$1:AF77)+1,"")</f>
        <v/>
      </c>
      <c r="AG78" s="2">
        <f>IF(A78="line",IF(COUNTIFS($B$1:B77,B78,$C$1:C77,C78,$A$1:A77,"line")=0,MAX($AG$1:AG77)+1,""),"")</f>
        <v/>
      </c>
    </row>
    <row r="79">
      <c r="W79" s="2">
        <f>IF(A79="line",IF(D79="quote",E79,G79)&amp;"|"&amp;LOWER(TRIM(K79)),"")</f>
        <v/>
      </c>
      <c r="X79" s="2">
        <f>IF(OR(O79="LABOUR",O79="INSTALL"),"LABOUR_ALL",IF(O79="","",O79))</f>
        <v/>
      </c>
      <c r="Y79" s="9">
        <f>IF(AND(A79="line",D79="quote"),SUMIFS($N$2:$N$500,$W$2:$W$500,W79,$D$2:$D$500,"invoice",$A$2:$A$500,"line"),"")</f>
        <v/>
      </c>
      <c r="Z79" s="2">
        <f>IF(AND(A79="line",D79="quote"),COUNTIFS($W$2:$W$500,W79,$D$2:$D$500,"invoice",$A$2:$A$500,"line"),"")</f>
        <v/>
      </c>
      <c r="AA79" s="2">
        <f>IF(AND(A79="line",D79="invoice"),COUNTIFS($W$2:$W$500,W79,$D$2:$D$500,"quote",$A$2:$A$500,"line"),"")</f>
        <v/>
      </c>
      <c r="AB79" s="2">
        <f>IF(A79&lt;&gt;"line","",IF(D79="quote",IF(Z79=0,"quote only",IF(ABS(Y79-N79)&gt;Settings!$B$2,"amount differs","match")),IF(AA79=0,"invoice only","match")))</f>
        <v/>
      </c>
      <c r="AC79" s="2">
        <f>IF(AND(A79="line",AB79&lt;&gt;"match",COUNTIFS($A$2:$A$500,"coverage",$B$2:$B$500,B79,$C$2:$C$500,C79,$D$2:$D$500,"invoice")&gt;0),MAX($AC$1:AC78)+1,"")</f>
        <v/>
      </c>
      <c r="AD79" s="2">
        <f>IF(A79&lt;&gt;"line","",IF(O79="UNMAPPED","no mapping rule",IF(P79="L","low confidence","")))</f>
        <v/>
      </c>
      <c r="AE79" s="2">
        <f>IF(AD79&lt;&gt;"",MAX($AE$1:AE78)+1,"")</f>
        <v/>
      </c>
      <c r="AF79" s="2">
        <f>IF(A79="coverage",MAX($AF$1:AF78)+1,"")</f>
        <v/>
      </c>
      <c r="AG79" s="2">
        <f>IF(A79="line",IF(COUNTIFS($B$1:B78,B79,$C$1:C78,C79,$A$1:A78,"line")=0,MAX($AG$1:AG78)+1,""),"")</f>
        <v/>
      </c>
    </row>
    <row r="80">
      <c r="W80" s="2">
        <f>IF(A80="line",IF(D80="quote",E80,G80)&amp;"|"&amp;LOWER(TRIM(K80)),"")</f>
        <v/>
      </c>
      <c r="X80" s="2">
        <f>IF(OR(O80="LABOUR",O80="INSTALL"),"LABOUR_ALL",IF(O80="","",O80))</f>
        <v/>
      </c>
      <c r="Y80" s="9">
        <f>IF(AND(A80="line",D80="quote"),SUMIFS($N$2:$N$500,$W$2:$W$500,W80,$D$2:$D$500,"invoice",$A$2:$A$500,"line"),"")</f>
        <v/>
      </c>
      <c r="Z80" s="2">
        <f>IF(AND(A80="line",D80="quote"),COUNTIFS($W$2:$W$500,W80,$D$2:$D$500,"invoice",$A$2:$A$500,"line"),"")</f>
        <v/>
      </c>
      <c r="AA80" s="2">
        <f>IF(AND(A80="line",D80="invoice"),COUNTIFS($W$2:$W$500,W80,$D$2:$D$500,"quote",$A$2:$A$500,"line"),"")</f>
        <v/>
      </c>
      <c r="AB80" s="2">
        <f>IF(A80&lt;&gt;"line","",IF(D80="quote",IF(Z80=0,"quote only",IF(ABS(Y80-N80)&gt;Settings!$B$2,"amount differs","match")),IF(AA80=0,"invoice only","match")))</f>
        <v/>
      </c>
      <c r="AC80" s="2">
        <f>IF(AND(A80="line",AB80&lt;&gt;"match",COUNTIFS($A$2:$A$500,"coverage",$B$2:$B$500,B80,$C$2:$C$500,C80,$D$2:$D$500,"invoice")&gt;0),MAX($AC$1:AC79)+1,"")</f>
        <v/>
      </c>
      <c r="AD80" s="2">
        <f>IF(A80&lt;&gt;"line","",IF(O80="UNMAPPED","no mapping rule",IF(P80="L","low confidence","")))</f>
        <v/>
      </c>
      <c r="AE80" s="2">
        <f>IF(AD80&lt;&gt;"",MAX($AE$1:AE79)+1,"")</f>
        <v/>
      </c>
      <c r="AF80" s="2">
        <f>IF(A80="coverage",MAX($AF$1:AF79)+1,"")</f>
        <v/>
      </c>
      <c r="AG80" s="2">
        <f>IF(A80="line",IF(COUNTIFS($B$1:B79,B80,$C$1:C79,C80,$A$1:A79,"line")=0,MAX($AG$1:AG79)+1,""),"")</f>
        <v/>
      </c>
    </row>
    <row r="81">
      <c r="W81" s="2">
        <f>IF(A81="line",IF(D81="quote",E81,G81)&amp;"|"&amp;LOWER(TRIM(K81)),"")</f>
        <v/>
      </c>
      <c r="X81" s="2">
        <f>IF(OR(O81="LABOUR",O81="INSTALL"),"LABOUR_ALL",IF(O81="","",O81))</f>
        <v/>
      </c>
      <c r="Y81" s="9">
        <f>IF(AND(A81="line",D81="quote"),SUMIFS($N$2:$N$500,$W$2:$W$500,W81,$D$2:$D$500,"invoice",$A$2:$A$500,"line"),"")</f>
        <v/>
      </c>
      <c r="Z81" s="2">
        <f>IF(AND(A81="line",D81="quote"),COUNTIFS($W$2:$W$500,W81,$D$2:$D$500,"invoice",$A$2:$A$500,"line"),"")</f>
        <v/>
      </c>
      <c r="AA81" s="2">
        <f>IF(AND(A81="line",D81="invoice"),COUNTIFS($W$2:$W$500,W81,$D$2:$D$500,"quote",$A$2:$A$500,"line"),"")</f>
        <v/>
      </c>
      <c r="AB81" s="2">
        <f>IF(A81&lt;&gt;"line","",IF(D81="quote",IF(Z81=0,"quote only",IF(ABS(Y81-N81)&gt;Settings!$B$2,"amount differs","match")),IF(AA81=0,"invoice only","match")))</f>
        <v/>
      </c>
      <c r="AC81" s="2">
        <f>IF(AND(A81="line",AB81&lt;&gt;"match",COUNTIFS($A$2:$A$500,"coverage",$B$2:$B$500,B81,$C$2:$C$500,C81,$D$2:$D$500,"invoice")&gt;0),MAX($AC$1:AC80)+1,"")</f>
        <v/>
      </c>
      <c r="AD81" s="2">
        <f>IF(A81&lt;&gt;"line","",IF(O81="UNMAPPED","no mapping rule",IF(P81="L","low confidence","")))</f>
        <v/>
      </c>
      <c r="AE81" s="2">
        <f>IF(AD81&lt;&gt;"",MAX($AE$1:AE80)+1,"")</f>
        <v/>
      </c>
      <c r="AF81" s="2">
        <f>IF(A81="coverage",MAX($AF$1:AF80)+1,"")</f>
        <v/>
      </c>
      <c r="AG81" s="2">
        <f>IF(A81="line",IF(COUNTIFS($B$1:B80,B81,$C$1:C80,C81,$A$1:A80,"line")=0,MAX($AG$1:AG80)+1,""),"")</f>
        <v/>
      </c>
    </row>
    <row r="82">
      <c r="W82" s="2">
        <f>IF(A82="line",IF(D82="quote",E82,G82)&amp;"|"&amp;LOWER(TRIM(K82)),"")</f>
        <v/>
      </c>
      <c r="X82" s="2">
        <f>IF(OR(O82="LABOUR",O82="INSTALL"),"LABOUR_ALL",IF(O82="","",O82))</f>
        <v/>
      </c>
      <c r="Y82" s="9">
        <f>IF(AND(A82="line",D82="quote"),SUMIFS($N$2:$N$500,$W$2:$W$500,W82,$D$2:$D$500,"invoice",$A$2:$A$500,"line"),"")</f>
        <v/>
      </c>
      <c r="Z82" s="2">
        <f>IF(AND(A82="line",D82="quote"),COUNTIFS($W$2:$W$500,W82,$D$2:$D$500,"invoice",$A$2:$A$500,"line"),"")</f>
        <v/>
      </c>
      <c r="AA82" s="2">
        <f>IF(AND(A82="line",D82="invoice"),COUNTIFS($W$2:$W$500,W82,$D$2:$D$500,"quote",$A$2:$A$500,"line"),"")</f>
        <v/>
      </c>
      <c r="AB82" s="2">
        <f>IF(A82&lt;&gt;"line","",IF(D82="quote",IF(Z82=0,"quote only",IF(ABS(Y82-N82)&gt;Settings!$B$2,"amount differs","match")),IF(AA82=0,"invoice only","match")))</f>
        <v/>
      </c>
      <c r="AC82" s="2">
        <f>IF(AND(A82="line",AB82&lt;&gt;"match",COUNTIFS($A$2:$A$500,"coverage",$B$2:$B$500,B82,$C$2:$C$500,C82,$D$2:$D$500,"invoice")&gt;0),MAX($AC$1:AC81)+1,"")</f>
        <v/>
      </c>
      <c r="AD82" s="2">
        <f>IF(A82&lt;&gt;"line","",IF(O82="UNMAPPED","no mapping rule",IF(P82="L","low confidence","")))</f>
        <v/>
      </c>
      <c r="AE82" s="2">
        <f>IF(AD82&lt;&gt;"",MAX($AE$1:AE81)+1,"")</f>
        <v/>
      </c>
      <c r="AF82" s="2">
        <f>IF(A82="coverage",MAX($AF$1:AF81)+1,"")</f>
        <v/>
      </c>
      <c r="AG82" s="2">
        <f>IF(A82="line",IF(COUNTIFS($B$1:B81,B82,$C$1:C81,C82,$A$1:A81,"line")=0,MAX($AG$1:AG81)+1,""),"")</f>
        <v/>
      </c>
    </row>
    <row r="83">
      <c r="W83" s="2">
        <f>IF(A83="line",IF(D83="quote",E83,G83)&amp;"|"&amp;LOWER(TRIM(K83)),"")</f>
        <v/>
      </c>
      <c r="X83" s="2">
        <f>IF(OR(O83="LABOUR",O83="INSTALL"),"LABOUR_ALL",IF(O83="","",O83))</f>
        <v/>
      </c>
      <c r="Y83" s="9">
        <f>IF(AND(A83="line",D83="quote"),SUMIFS($N$2:$N$500,$W$2:$W$500,W83,$D$2:$D$500,"invoice",$A$2:$A$500,"line"),"")</f>
        <v/>
      </c>
      <c r="Z83" s="2">
        <f>IF(AND(A83="line",D83="quote"),COUNTIFS($W$2:$W$500,W83,$D$2:$D$500,"invoice",$A$2:$A$500,"line"),"")</f>
        <v/>
      </c>
      <c r="AA83" s="2">
        <f>IF(AND(A83="line",D83="invoice"),COUNTIFS($W$2:$W$500,W83,$D$2:$D$500,"quote",$A$2:$A$500,"line"),"")</f>
        <v/>
      </c>
      <c r="AB83" s="2">
        <f>IF(A83&lt;&gt;"line","",IF(D83="quote",IF(Z83=0,"quote only",IF(ABS(Y83-N83)&gt;Settings!$B$2,"amount differs","match")),IF(AA83=0,"invoice only","match")))</f>
        <v/>
      </c>
      <c r="AC83" s="2">
        <f>IF(AND(A83="line",AB83&lt;&gt;"match",COUNTIFS($A$2:$A$500,"coverage",$B$2:$B$500,B83,$C$2:$C$500,C83,$D$2:$D$500,"invoice")&gt;0),MAX($AC$1:AC82)+1,"")</f>
        <v/>
      </c>
      <c r="AD83" s="2">
        <f>IF(A83&lt;&gt;"line","",IF(O83="UNMAPPED","no mapping rule",IF(P83="L","low confidence","")))</f>
        <v/>
      </c>
      <c r="AE83" s="2">
        <f>IF(AD83&lt;&gt;"",MAX($AE$1:AE82)+1,"")</f>
        <v/>
      </c>
      <c r="AF83" s="2">
        <f>IF(A83="coverage",MAX($AF$1:AF82)+1,"")</f>
        <v/>
      </c>
      <c r="AG83" s="2">
        <f>IF(A83="line",IF(COUNTIFS($B$1:B82,B83,$C$1:C82,C83,$A$1:A82,"line")=0,MAX($AG$1:AG82)+1,""),"")</f>
        <v/>
      </c>
    </row>
    <row r="84">
      <c r="W84" s="2">
        <f>IF(A84="line",IF(D84="quote",E84,G84)&amp;"|"&amp;LOWER(TRIM(K84)),"")</f>
        <v/>
      </c>
      <c r="X84" s="2">
        <f>IF(OR(O84="LABOUR",O84="INSTALL"),"LABOUR_ALL",IF(O84="","",O84))</f>
        <v/>
      </c>
      <c r="Y84" s="9">
        <f>IF(AND(A84="line",D84="quote"),SUMIFS($N$2:$N$500,$W$2:$W$500,W84,$D$2:$D$500,"invoice",$A$2:$A$500,"line"),"")</f>
        <v/>
      </c>
      <c r="Z84" s="2">
        <f>IF(AND(A84="line",D84="quote"),COUNTIFS($W$2:$W$500,W84,$D$2:$D$500,"invoice",$A$2:$A$500,"line"),"")</f>
        <v/>
      </c>
      <c r="AA84" s="2">
        <f>IF(AND(A84="line",D84="invoice"),COUNTIFS($W$2:$W$500,W84,$D$2:$D$500,"quote",$A$2:$A$500,"line"),"")</f>
        <v/>
      </c>
      <c r="AB84" s="2">
        <f>IF(A84&lt;&gt;"line","",IF(D84="quote",IF(Z84=0,"quote only",IF(ABS(Y84-N84)&gt;Settings!$B$2,"amount differs","match")),IF(AA84=0,"invoice only","match")))</f>
        <v/>
      </c>
      <c r="AC84" s="2">
        <f>IF(AND(A84="line",AB84&lt;&gt;"match",COUNTIFS($A$2:$A$500,"coverage",$B$2:$B$500,B84,$C$2:$C$500,C84,$D$2:$D$500,"invoice")&gt;0),MAX($AC$1:AC83)+1,"")</f>
        <v/>
      </c>
      <c r="AD84" s="2">
        <f>IF(A84&lt;&gt;"line","",IF(O84="UNMAPPED","no mapping rule",IF(P84="L","low confidence","")))</f>
        <v/>
      </c>
      <c r="AE84" s="2">
        <f>IF(AD84&lt;&gt;"",MAX($AE$1:AE83)+1,"")</f>
        <v/>
      </c>
      <c r="AF84" s="2">
        <f>IF(A84="coverage",MAX($AF$1:AF83)+1,"")</f>
        <v/>
      </c>
      <c r="AG84" s="2">
        <f>IF(A84="line",IF(COUNTIFS($B$1:B83,B84,$C$1:C83,C84,$A$1:A83,"line")=0,MAX($AG$1:AG83)+1,""),"")</f>
        <v/>
      </c>
    </row>
    <row r="85">
      <c r="W85" s="2">
        <f>IF(A85="line",IF(D85="quote",E85,G85)&amp;"|"&amp;LOWER(TRIM(K85)),"")</f>
        <v/>
      </c>
      <c r="X85" s="2">
        <f>IF(OR(O85="LABOUR",O85="INSTALL"),"LABOUR_ALL",IF(O85="","",O85))</f>
        <v/>
      </c>
      <c r="Y85" s="9">
        <f>IF(AND(A85="line",D85="quote"),SUMIFS($N$2:$N$500,$W$2:$W$500,W85,$D$2:$D$500,"invoice",$A$2:$A$500,"line"),"")</f>
        <v/>
      </c>
      <c r="Z85" s="2">
        <f>IF(AND(A85="line",D85="quote"),COUNTIFS($W$2:$W$500,W85,$D$2:$D$500,"invoice",$A$2:$A$500,"line"),"")</f>
        <v/>
      </c>
      <c r="AA85" s="2">
        <f>IF(AND(A85="line",D85="invoice"),COUNTIFS($W$2:$W$500,W85,$D$2:$D$500,"quote",$A$2:$A$500,"line"),"")</f>
        <v/>
      </c>
      <c r="AB85" s="2">
        <f>IF(A85&lt;&gt;"line","",IF(D85="quote",IF(Z85=0,"quote only",IF(ABS(Y85-N85)&gt;Settings!$B$2,"amount differs","match")),IF(AA85=0,"invoice only","match")))</f>
        <v/>
      </c>
      <c r="AC85" s="2">
        <f>IF(AND(A85="line",AB85&lt;&gt;"match",COUNTIFS($A$2:$A$500,"coverage",$B$2:$B$500,B85,$C$2:$C$500,C85,$D$2:$D$500,"invoice")&gt;0),MAX($AC$1:AC84)+1,"")</f>
        <v/>
      </c>
      <c r="AD85" s="2">
        <f>IF(A85&lt;&gt;"line","",IF(O85="UNMAPPED","no mapping rule",IF(P85="L","low confidence","")))</f>
        <v/>
      </c>
      <c r="AE85" s="2">
        <f>IF(AD85&lt;&gt;"",MAX($AE$1:AE84)+1,"")</f>
        <v/>
      </c>
      <c r="AF85" s="2">
        <f>IF(A85="coverage",MAX($AF$1:AF84)+1,"")</f>
        <v/>
      </c>
      <c r="AG85" s="2">
        <f>IF(A85="line",IF(COUNTIFS($B$1:B84,B85,$C$1:C84,C85,$A$1:A84,"line")=0,MAX($AG$1:AG84)+1,""),"")</f>
        <v/>
      </c>
    </row>
    <row r="86">
      <c r="W86" s="2">
        <f>IF(A86="line",IF(D86="quote",E86,G86)&amp;"|"&amp;LOWER(TRIM(K86)),"")</f>
        <v/>
      </c>
      <c r="X86" s="2">
        <f>IF(OR(O86="LABOUR",O86="INSTALL"),"LABOUR_ALL",IF(O86="","",O86))</f>
        <v/>
      </c>
      <c r="Y86" s="9">
        <f>IF(AND(A86="line",D86="quote"),SUMIFS($N$2:$N$500,$W$2:$W$500,W86,$D$2:$D$500,"invoice",$A$2:$A$500,"line"),"")</f>
        <v/>
      </c>
      <c r="Z86" s="2">
        <f>IF(AND(A86="line",D86="quote"),COUNTIFS($W$2:$W$500,W86,$D$2:$D$500,"invoice",$A$2:$A$500,"line"),"")</f>
        <v/>
      </c>
      <c r="AA86" s="2">
        <f>IF(AND(A86="line",D86="invoice"),COUNTIFS($W$2:$W$500,W86,$D$2:$D$500,"quote",$A$2:$A$500,"line"),"")</f>
        <v/>
      </c>
      <c r="AB86" s="2">
        <f>IF(A86&lt;&gt;"line","",IF(D86="quote",IF(Z86=0,"quote only",IF(ABS(Y86-N86)&gt;Settings!$B$2,"amount differs","match")),IF(AA86=0,"invoice only","match")))</f>
        <v/>
      </c>
      <c r="AC86" s="2">
        <f>IF(AND(A86="line",AB86&lt;&gt;"match",COUNTIFS($A$2:$A$500,"coverage",$B$2:$B$500,B86,$C$2:$C$500,C86,$D$2:$D$500,"invoice")&gt;0),MAX($AC$1:AC85)+1,"")</f>
        <v/>
      </c>
      <c r="AD86" s="2">
        <f>IF(A86&lt;&gt;"line","",IF(O86="UNMAPPED","no mapping rule",IF(P86="L","low confidence","")))</f>
        <v/>
      </c>
      <c r="AE86" s="2">
        <f>IF(AD86&lt;&gt;"",MAX($AE$1:AE85)+1,"")</f>
        <v/>
      </c>
      <c r="AF86" s="2">
        <f>IF(A86="coverage",MAX($AF$1:AF85)+1,"")</f>
        <v/>
      </c>
      <c r="AG86" s="2">
        <f>IF(A86="line",IF(COUNTIFS($B$1:B85,B86,$C$1:C85,C86,$A$1:A85,"line")=0,MAX($AG$1:AG85)+1,""),"")</f>
        <v/>
      </c>
    </row>
    <row r="87">
      <c r="W87" s="2">
        <f>IF(A87="line",IF(D87="quote",E87,G87)&amp;"|"&amp;LOWER(TRIM(K87)),"")</f>
        <v/>
      </c>
      <c r="X87" s="2">
        <f>IF(OR(O87="LABOUR",O87="INSTALL"),"LABOUR_ALL",IF(O87="","",O87))</f>
        <v/>
      </c>
      <c r="Y87" s="9">
        <f>IF(AND(A87="line",D87="quote"),SUMIFS($N$2:$N$500,$W$2:$W$500,W87,$D$2:$D$500,"invoice",$A$2:$A$500,"line"),"")</f>
        <v/>
      </c>
      <c r="Z87" s="2">
        <f>IF(AND(A87="line",D87="quote"),COUNTIFS($W$2:$W$500,W87,$D$2:$D$500,"invoice",$A$2:$A$500,"line"),"")</f>
        <v/>
      </c>
      <c r="AA87" s="2">
        <f>IF(AND(A87="line",D87="invoice"),COUNTIFS($W$2:$W$500,W87,$D$2:$D$500,"quote",$A$2:$A$500,"line"),"")</f>
        <v/>
      </c>
      <c r="AB87" s="2">
        <f>IF(A87&lt;&gt;"line","",IF(D87="quote",IF(Z87=0,"quote only",IF(ABS(Y87-N87)&gt;Settings!$B$2,"amount differs","match")),IF(AA87=0,"invoice only","match")))</f>
        <v/>
      </c>
      <c r="AC87" s="2">
        <f>IF(AND(A87="line",AB87&lt;&gt;"match",COUNTIFS($A$2:$A$500,"coverage",$B$2:$B$500,B87,$C$2:$C$500,C87,$D$2:$D$500,"invoice")&gt;0),MAX($AC$1:AC86)+1,"")</f>
        <v/>
      </c>
      <c r="AD87" s="2">
        <f>IF(A87&lt;&gt;"line","",IF(O87="UNMAPPED","no mapping rule",IF(P87="L","low confidence","")))</f>
        <v/>
      </c>
      <c r="AE87" s="2">
        <f>IF(AD87&lt;&gt;"",MAX($AE$1:AE86)+1,"")</f>
        <v/>
      </c>
      <c r="AF87" s="2">
        <f>IF(A87="coverage",MAX($AF$1:AF86)+1,"")</f>
        <v/>
      </c>
      <c r="AG87" s="2">
        <f>IF(A87="line",IF(COUNTIFS($B$1:B86,B87,$C$1:C86,C87,$A$1:A86,"line")=0,MAX($AG$1:AG86)+1,""),"")</f>
        <v/>
      </c>
    </row>
    <row r="88">
      <c r="W88" s="2">
        <f>IF(A88="line",IF(D88="quote",E88,G88)&amp;"|"&amp;LOWER(TRIM(K88)),"")</f>
        <v/>
      </c>
      <c r="X88" s="2">
        <f>IF(OR(O88="LABOUR",O88="INSTALL"),"LABOUR_ALL",IF(O88="","",O88))</f>
        <v/>
      </c>
      <c r="Y88" s="9">
        <f>IF(AND(A88="line",D88="quote"),SUMIFS($N$2:$N$500,$W$2:$W$500,W88,$D$2:$D$500,"invoice",$A$2:$A$500,"line"),"")</f>
        <v/>
      </c>
      <c r="Z88" s="2">
        <f>IF(AND(A88="line",D88="quote"),COUNTIFS($W$2:$W$500,W88,$D$2:$D$500,"invoice",$A$2:$A$500,"line"),"")</f>
        <v/>
      </c>
      <c r="AA88" s="2">
        <f>IF(AND(A88="line",D88="invoice"),COUNTIFS($W$2:$W$500,W88,$D$2:$D$500,"quote",$A$2:$A$500,"line"),"")</f>
        <v/>
      </c>
      <c r="AB88" s="2">
        <f>IF(A88&lt;&gt;"line","",IF(D88="quote",IF(Z88=0,"quote only",IF(ABS(Y88-N88)&gt;Settings!$B$2,"amount differs","match")),IF(AA88=0,"invoice only","match")))</f>
        <v/>
      </c>
      <c r="AC88" s="2">
        <f>IF(AND(A88="line",AB88&lt;&gt;"match",COUNTIFS($A$2:$A$500,"coverage",$B$2:$B$500,B88,$C$2:$C$500,C88,$D$2:$D$500,"invoice")&gt;0),MAX($AC$1:AC87)+1,"")</f>
        <v/>
      </c>
      <c r="AD88" s="2">
        <f>IF(A88&lt;&gt;"line","",IF(O88="UNMAPPED","no mapping rule",IF(P88="L","low confidence","")))</f>
        <v/>
      </c>
      <c r="AE88" s="2">
        <f>IF(AD88&lt;&gt;"",MAX($AE$1:AE87)+1,"")</f>
        <v/>
      </c>
      <c r="AF88" s="2">
        <f>IF(A88="coverage",MAX($AF$1:AF87)+1,"")</f>
        <v/>
      </c>
      <c r="AG88" s="2">
        <f>IF(A88="line",IF(COUNTIFS($B$1:B87,B88,$C$1:C87,C88,$A$1:A87,"line")=0,MAX($AG$1:AG87)+1,""),"")</f>
        <v/>
      </c>
    </row>
    <row r="89">
      <c r="W89" s="2">
        <f>IF(A89="line",IF(D89="quote",E89,G89)&amp;"|"&amp;LOWER(TRIM(K89)),"")</f>
        <v/>
      </c>
      <c r="X89" s="2">
        <f>IF(OR(O89="LABOUR",O89="INSTALL"),"LABOUR_ALL",IF(O89="","",O89))</f>
        <v/>
      </c>
      <c r="Y89" s="9">
        <f>IF(AND(A89="line",D89="quote"),SUMIFS($N$2:$N$500,$W$2:$W$500,W89,$D$2:$D$500,"invoice",$A$2:$A$500,"line"),"")</f>
        <v/>
      </c>
      <c r="Z89" s="2">
        <f>IF(AND(A89="line",D89="quote"),COUNTIFS($W$2:$W$500,W89,$D$2:$D$500,"invoice",$A$2:$A$500,"line"),"")</f>
        <v/>
      </c>
      <c r="AA89" s="2">
        <f>IF(AND(A89="line",D89="invoice"),COUNTIFS($W$2:$W$500,W89,$D$2:$D$500,"quote",$A$2:$A$500,"line"),"")</f>
        <v/>
      </c>
      <c r="AB89" s="2">
        <f>IF(A89&lt;&gt;"line","",IF(D89="quote",IF(Z89=0,"quote only",IF(ABS(Y89-N89)&gt;Settings!$B$2,"amount differs","match")),IF(AA89=0,"invoice only","match")))</f>
        <v/>
      </c>
      <c r="AC89" s="2">
        <f>IF(AND(A89="line",AB89&lt;&gt;"match",COUNTIFS($A$2:$A$500,"coverage",$B$2:$B$500,B89,$C$2:$C$500,C89,$D$2:$D$500,"invoice")&gt;0),MAX($AC$1:AC88)+1,"")</f>
        <v/>
      </c>
      <c r="AD89" s="2">
        <f>IF(A89&lt;&gt;"line","",IF(O89="UNMAPPED","no mapping rule",IF(P89="L","low confidence","")))</f>
        <v/>
      </c>
      <c r="AE89" s="2">
        <f>IF(AD89&lt;&gt;"",MAX($AE$1:AE88)+1,"")</f>
        <v/>
      </c>
      <c r="AF89" s="2">
        <f>IF(A89="coverage",MAX($AF$1:AF88)+1,"")</f>
        <v/>
      </c>
      <c r="AG89" s="2">
        <f>IF(A89="line",IF(COUNTIFS($B$1:B88,B89,$C$1:C88,C89,$A$1:A88,"line")=0,MAX($AG$1:AG88)+1,""),"")</f>
        <v/>
      </c>
    </row>
    <row r="90">
      <c r="W90" s="2">
        <f>IF(A90="line",IF(D90="quote",E90,G90)&amp;"|"&amp;LOWER(TRIM(K90)),"")</f>
        <v/>
      </c>
      <c r="X90" s="2">
        <f>IF(OR(O90="LABOUR",O90="INSTALL"),"LABOUR_ALL",IF(O90="","",O90))</f>
        <v/>
      </c>
      <c r="Y90" s="9">
        <f>IF(AND(A90="line",D90="quote"),SUMIFS($N$2:$N$500,$W$2:$W$500,W90,$D$2:$D$500,"invoice",$A$2:$A$500,"line"),"")</f>
        <v/>
      </c>
      <c r="Z90" s="2">
        <f>IF(AND(A90="line",D90="quote"),COUNTIFS($W$2:$W$500,W90,$D$2:$D$500,"invoice",$A$2:$A$500,"line"),"")</f>
        <v/>
      </c>
      <c r="AA90" s="2">
        <f>IF(AND(A90="line",D90="invoice"),COUNTIFS($W$2:$W$500,W90,$D$2:$D$500,"quote",$A$2:$A$500,"line"),"")</f>
        <v/>
      </c>
      <c r="AB90" s="2">
        <f>IF(A90&lt;&gt;"line","",IF(D90="quote",IF(Z90=0,"quote only",IF(ABS(Y90-N90)&gt;Settings!$B$2,"amount differs","match")),IF(AA90=0,"invoice only","match")))</f>
        <v/>
      </c>
      <c r="AC90" s="2">
        <f>IF(AND(A90="line",AB90&lt;&gt;"match",COUNTIFS($A$2:$A$500,"coverage",$B$2:$B$500,B90,$C$2:$C$500,C90,$D$2:$D$500,"invoice")&gt;0),MAX($AC$1:AC89)+1,"")</f>
        <v/>
      </c>
      <c r="AD90" s="2">
        <f>IF(A90&lt;&gt;"line","",IF(O90="UNMAPPED","no mapping rule",IF(P90="L","low confidence","")))</f>
        <v/>
      </c>
      <c r="AE90" s="2">
        <f>IF(AD90&lt;&gt;"",MAX($AE$1:AE89)+1,"")</f>
        <v/>
      </c>
      <c r="AF90" s="2">
        <f>IF(A90="coverage",MAX($AF$1:AF89)+1,"")</f>
        <v/>
      </c>
      <c r="AG90" s="2">
        <f>IF(A90="line",IF(COUNTIFS($B$1:B89,B90,$C$1:C89,C90,$A$1:A89,"line")=0,MAX($AG$1:AG89)+1,""),"")</f>
        <v/>
      </c>
    </row>
    <row r="91">
      <c r="W91" s="2">
        <f>IF(A91="line",IF(D91="quote",E91,G91)&amp;"|"&amp;LOWER(TRIM(K91)),"")</f>
        <v/>
      </c>
      <c r="X91" s="2">
        <f>IF(OR(O91="LABOUR",O91="INSTALL"),"LABOUR_ALL",IF(O91="","",O91))</f>
        <v/>
      </c>
      <c r="Y91" s="9">
        <f>IF(AND(A91="line",D91="quote"),SUMIFS($N$2:$N$500,$W$2:$W$500,W91,$D$2:$D$500,"invoice",$A$2:$A$500,"line"),"")</f>
        <v/>
      </c>
      <c r="Z91" s="2">
        <f>IF(AND(A91="line",D91="quote"),COUNTIFS($W$2:$W$500,W91,$D$2:$D$500,"invoice",$A$2:$A$500,"line"),"")</f>
        <v/>
      </c>
      <c r="AA91" s="2">
        <f>IF(AND(A91="line",D91="invoice"),COUNTIFS($W$2:$W$500,W91,$D$2:$D$500,"quote",$A$2:$A$500,"line"),"")</f>
        <v/>
      </c>
      <c r="AB91" s="2">
        <f>IF(A91&lt;&gt;"line","",IF(D91="quote",IF(Z91=0,"quote only",IF(ABS(Y91-N91)&gt;Settings!$B$2,"amount differs","match")),IF(AA91=0,"invoice only","match")))</f>
        <v/>
      </c>
      <c r="AC91" s="2">
        <f>IF(AND(A91="line",AB91&lt;&gt;"match",COUNTIFS($A$2:$A$500,"coverage",$B$2:$B$500,B91,$C$2:$C$500,C91,$D$2:$D$500,"invoice")&gt;0),MAX($AC$1:AC90)+1,"")</f>
        <v/>
      </c>
      <c r="AD91" s="2">
        <f>IF(A91&lt;&gt;"line","",IF(O91="UNMAPPED","no mapping rule",IF(P91="L","low confidence","")))</f>
        <v/>
      </c>
      <c r="AE91" s="2">
        <f>IF(AD91&lt;&gt;"",MAX($AE$1:AE90)+1,"")</f>
        <v/>
      </c>
      <c r="AF91" s="2">
        <f>IF(A91="coverage",MAX($AF$1:AF90)+1,"")</f>
        <v/>
      </c>
      <c r="AG91" s="2">
        <f>IF(A91="line",IF(COUNTIFS($B$1:B90,B91,$C$1:C90,C91,$A$1:A90,"line")=0,MAX($AG$1:AG90)+1,""),"")</f>
        <v/>
      </c>
    </row>
    <row r="92">
      <c r="W92" s="2">
        <f>IF(A92="line",IF(D92="quote",E92,G92)&amp;"|"&amp;LOWER(TRIM(K92)),"")</f>
        <v/>
      </c>
      <c r="X92" s="2">
        <f>IF(OR(O92="LABOUR",O92="INSTALL"),"LABOUR_ALL",IF(O92="","",O92))</f>
        <v/>
      </c>
      <c r="Y92" s="9">
        <f>IF(AND(A92="line",D92="quote"),SUMIFS($N$2:$N$500,$W$2:$W$500,W92,$D$2:$D$500,"invoice",$A$2:$A$500,"line"),"")</f>
        <v/>
      </c>
      <c r="Z92" s="2">
        <f>IF(AND(A92="line",D92="quote"),COUNTIFS($W$2:$W$500,W92,$D$2:$D$500,"invoice",$A$2:$A$500,"line"),"")</f>
        <v/>
      </c>
      <c r="AA92" s="2">
        <f>IF(AND(A92="line",D92="invoice"),COUNTIFS($W$2:$W$500,W92,$D$2:$D$500,"quote",$A$2:$A$500,"line"),"")</f>
        <v/>
      </c>
      <c r="AB92" s="2">
        <f>IF(A92&lt;&gt;"line","",IF(D92="quote",IF(Z92=0,"quote only",IF(ABS(Y92-N92)&gt;Settings!$B$2,"amount differs","match")),IF(AA92=0,"invoice only","match")))</f>
        <v/>
      </c>
      <c r="AC92" s="2">
        <f>IF(AND(A92="line",AB92&lt;&gt;"match",COUNTIFS($A$2:$A$500,"coverage",$B$2:$B$500,B92,$C$2:$C$500,C92,$D$2:$D$500,"invoice")&gt;0),MAX($AC$1:AC91)+1,"")</f>
        <v/>
      </c>
      <c r="AD92" s="2">
        <f>IF(A92&lt;&gt;"line","",IF(O92="UNMAPPED","no mapping rule",IF(P92="L","low confidence","")))</f>
        <v/>
      </c>
      <c r="AE92" s="2">
        <f>IF(AD92&lt;&gt;"",MAX($AE$1:AE91)+1,"")</f>
        <v/>
      </c>
      <c r="AF92" s="2">
        <f>IF(A92="coverage",MAX($AF$1:AF91)+1,"")</f>
        <v/>
      </c>
      <c r="AG92" s="2">
        <f>IF(A92="line",IF(COUNTIFS($B$1:B91,B92,$C$1:C91,C92,$A$1:A91,"line")=0,MAX($AG$1:AG91)+1,""),"")</f>
        <v/>
      </c>
    </row>
    <row r="93">
      <c r="W93" s="2">
        <f>IF(A93="line",IF(D93="quote",E93,G93)&amp;"|"&amp;LOWER(TRIM(K93)),"")</f>
        <v/>
      </c>
      <c r="X93" s="2">
        <f>IF(OR(O93="LABOUR",O93="INSTALL"),"LABOUR_ALL",IF(O93="","",O93))</f>
        <v/>
      </c>
      <c r="Y93" s="9">
        <f>IF(AND(A93="line",D93="quote"),SUMIFS($N$2:$N$500,$W$2:$W$500,W93,$D$2:$D$500,"invoice",$A$2:$A$500,"line"),"")</f>
        <v/>
      </c>
      <c r="Z93" s="2">
        <f>IF(AND(A93="line",D93="quote"),COUNTIFS($W$2:$W$500,W93,$D$2:$D$500,"invoice",$A$2:$A$500,"line"),"")</f>
        <v/>
      </c>
      <c r="AA93" s="2">
        <f>IF(AND(A93="line",D93="invoice"),COUNTIFS($W$2:$W$500,W93,$D$2:$D$500,"quote",$A$2:$A$500,"line"),"")</f>
        <v/>
      </c>
      <c r="AB93" s="2">
        <f>IF(A93&lt;&gt;"line","",IF(D93="quote",IF(Z93=0,"quote only",IF(ABS(Y93-N93)&gt;Settings!$B$2,"amount differs","match")),IF(AA93=0,"invoice only","match")))</f>
        <v/>
      </c>
      <c r="AC93" s="2">
        <f>IF(AND(A93="line",AB93&lt;&gt;"match",COUNTIFS($A$2:$A$500,"coverage",$B$2:$B$500,B93,$C$2:$C$500,C93,$D$2:$D$500,"invoice")&gt;0),MAX($AC$1:AC92)+1,"")</f>
        <v/>
      </c>
      <c r="AD93" s="2">
        <f>IF(A93&lt;&gt;"line","",IF(O93="UNMAPPED","no mapping rule",IF(P93="L","low confidence","")))</f>
        <v/>
      </c>
      <c r="AE93" s="2">
        <f>IF(AD93&lt;&gt;"",MAX($AE$1:AE92)+1,"")</f>
        <v/>
      </c>
      <c r="AF93" s="2">
        <f>IF(A93="coverage",MAX($AF$1:AF92)+1,"")</f>
        <v/>
      </c>
      <c r="AG93" s="2">
        <f>IF(A93="line",IF(COUNTIFS($B$1:B92,B93,$C$1:C92,C93,$A$1:A92,"line")=0,MAX($AG$1:AG92)+1,""),"")</f>
        <v/>
      </c>
    </row>
    <row r="94">
      <c r="W94" s="2">
        <f>IF(A94="line",IF(D94="quote",E94,G94)&amp;"|"&amp;LOWER(TRIM(K94)),"")</f>
        <v/>
      </c>
      <c r="X94" s="2">
        <f>IF(OR(O94="LABOUR",O94="INSTALL"),"LABOUR_ALL",IF(O94="","",O94))</f>
        <v/>
      </c>
      <c r="Y94" s="9">
        <f>IF(AND(A94="line",D94="quote"),SUMIFS($N$2:$N$500,$W$2:$W$500,W94,$D$2:$D$500,"invoice",$A$2:$A$500,"line"),"")</f>
        <v/>
      </c>
      <c r="Z94" s="2">
        <f>IF(AND(A94="line",D94="quote"),COUNTIFS($W$2:$W$500,W94,$D$2:$D$500,"invoice",$A$2:$A$500,"line"),"")</f>
        <v/>
      </c>
      <c r="AA94" s="2">
        <f>IF(AND(A94="line",D94="invoice"),COUNTIFS($W$2:$W$500,W94,$D$2:$D$500,"quote",$A$2:$A$500,"line"),"")</f>
        <v/>
      </c>
      <c r="AB94" s="2">
        <f>IF(A94&lt;&gt;"line","",IF(D94="quote",IF(Z94=0,"quote only",IF(ABS(Y94-N94)&gt;Settings!$B$2,"amount differs","match")),IF(AA94=0,"invoice only","match")))</f>
        <v/>
      </c>
      <c r="AC94" s="2">
        <f>IF(AND(A94="line",AB94&lt;&gt;"match",COUNTIFS($A$2:$A$500,"coverage",$B$2:$B$500,B94,$C$2:$C$500,C94,$D$2:$D$500,"invoice")&gt;0),MAX($AC$1:AC93)+1,"")</f>
        <v/>
      </c>
      <c r="AD94" s="2">
        <f>IF(A94&lt;&gt;"line","",IF(O94="UNMAPPED","no mapping rule",IF(P94="L","low confidence","")))</f>
        <v/>
      </c>
      <c r="AE94" s="2">
        <f>IF(AD94&lt;&gt;"",MAX($AE$1:AE93)+1,"")</f>
        <v/>
      </c>
      <c r="AF94" s="2">
        <f>IF(A94="coverage",MAX($AF$1:AF93)+1,"")</f>
        <v/>
      </c>
      <c r="AG94" s="2">
        <f>IF(A94="line",IF(COUNTIFS($B$1:B93,B94,$C$1:C93,C94,$A$1:A93,"line")=0,MAX($AG$1:AG93)+1,""),"")</f>
        <v/>
      </c>
    </row>
    <row r="95">
      <c r="W95" s="2">
        <f>IF(A95="line",IF(D95="quote",E95,G95)&amp;"|"&amp;LOWER(TRIM(K95)),"")</f>
        <v/>
      </c>
      <c r="X95" s="2">
        <f>IF(OR(O95="LABOUR",O95="INSTALL"),"LABOUR_ALL",IF(O95="","",O95))</f>
        <v/>
      </c>
      <c r="Y95" s="9">
        <f>IF(AND(A95="line",D95="quote"),SUMIFS($N$2:$N$500,$W$2:$W$500,W95,$D$2:$D$500,"invoice",$A$2:$A$500,"line"),"")</f>
        <v/>
      </c>
      <c r="Z95" s="2">
        <f>IF(AND(A95="line",D95="quote"),COUNTIFS($W$2:$W$500,W95,$D$2:$D$500,"invoice",$A$2:$A$500,"line"),"")</f>
        <v/>
      </c>
      <c r="AA95" s="2">
        <f>IF(AND(A95="line",D95="invoice"),COUNTIFS($W$2:$W$500,W95,$D$2:$D$500,"quote",$A$2:$A$500,"line"),"")</f>
        <v/>
      </c>
      <c r="AB95" s="2">
        <f>IF(A95&lt;&gt;"line","",IF(D95="quote",IF(Z95=0,"quote only",IF(ABS(Y95-N95)&gt;Settings!$B$2,"amount differs","match")),IF(AA95=0,"invoice only","match")))</f>
        <v/>
      </c>
      <c r="AC95" s="2">
        <f>IF(AND(A95="line",AB95&lt;&gt;"match",COUNTIFS($A$2:$A$500,"coverage",$B$2:$B$500,B95,$C$2:$C$500,C95,$D$2:$D$500,"invoice")&gt;0),MAX($AC$1:AC94)+1,"")</f>
        <v/>
      </c>
      <c r="AD95" s="2">
        <f>IF(A95&lt;&gt;"line","",IF(O95="UNMAPPED","no mapping rule",IF(P95="L","low confidence","")))</f>
        <v/>
      </c>
      <c r="AE95" s="2">
        <f>IF(AD95&lt;&gt;"",MAX($AE$1:AE94)+1,"")</f>
        <v/>
      </c>
      <c r="AF95" s="2">
        <f>IF(A95="coverage",MAX($AF$1:AF94)+1,"")</f>
        <v/>
      </c>
      <c r="AG95" s="2">
        <f>IF(A95="line",IF(COUNTIFS($B$1:B94,B95,$C$1:C94,C95,$A$1:A94,"line")=0,MAX($AG$1:AG94)+1,""),"")</f>
        <v/>
      </c>
    </row>
    <row r="96">
      <c r="W96" s="2">
        <f>IF(A96="line",IF(D96="quote",E96,G96)&amp;"|"&amp;LOWER(TRIM(K96)),"")</f>
        <v/>
      </c>
      <c r="X96" s="2">
        <f>IF(OR(O96="LABOUR",O96="INSTALL"),"LABOUR_ALL",IF(O96="","",O96))</f>
        <v/>
      </c>
      <c r="Y96" s="9">
        <f>IF(AND(A96="line",D96="quote"),SUMIFS($N$2:$N$500,$W$2:$W$500,W96,$D$2:$D$500,"invoice",$A$2:$A$500,"line"),"")</f>
        <v/>
      </c>
      <c r="Z96" s="2">
        <f>IF(AND(A96="line",D96="quote"),COUNTIFS($W$2:$W$500,W96,$D$2:$D$500,"invoice",$A$2:$A$500,"line"),"")</f>
        <v/>
      </c>
      <c r="AA96" s="2">
        <f>IF(AND(A96="line",D96="invoice"),COUNTIFS($W$2:$W$500,W96,$D$2:$D$500,"quote",$A$2:$A$500,"line"),"")</f>
        <v/>
      </c>
      <c r="AB96" s="2">
        <f>IF(A96&lt;&gt;"line","",IF(D96="quote",IF(Z96=0,"quote only",IF(ABS(Y96-N96)&gt;Settings!$B$2,"amount differs","match")),IF(AA96=0,"invoice only","match")))</f>
        <v/>
      </c>
      <c r="AC96" s="2">
        <f>IF(AND(A96="line",AB96&lt;&gt;"match",COUNTIFS($A$2:$A$500,"coverage",$B$2:$B$500,B96,$C$2:$C$500,C96,$D$2:$D$500,"invoice")&gt;0),MAX($AC$1:AC95)+1,"")</f>
        <v/>
      </c>
      <c r="AD96" s="2">
        <f>IF(A96&lt;&gt;"line","",IF(O96="UNMAPPED","no mapping rule",IF(P96="L","low confidence","")))</f>
        <v/>
      </c>
      <c r="AE96" s="2">
        <f>IF(AD96&lt;&gt;"",MAX($AE$1:AE95)+1,"")</f>
        <v/>
      </c>
      <c r="AF96" s="2">
        <f>IF(A96="coverage",MAX($AF$1:AF95)+1,"")</f>
        <v/>
      </c>
      <c r="AG96" s="2">
        <f>IF(A96="line",IF(COUNTIFS($B$1:B95,B96,$C$1:C95,C96,$A$1:A95,"line")=0,MAX($AG$1:AG95)+1,""),"")</f>
        <v/>
      </c>
    </row>
    <row r="97">
      <c r="W97" s="2">
        <f>IF(A97="line",IF(D97="quote",E97,G97)&amp;"|"&amp;LOWER(TRIM(K97)),"")</f>
        <v/>
      </c>
      <c r="X97" s="2">
        <f>IF(OR(O97="LABOUR",O97="INSTALL"),"LABOUR_ALL",IF(O97="","",O97))</f>
        <v/>
      </c>
      <c r="Y97" s="9">
        <f>IF(AND(A97="line",D97="quote"),SUMIFS($N$2:$N$500,$W$2:$W$500,W97,$D$2:$D$500,"invoice",$A$2:$A$500,"line"),"")</f>
        <v/>
      </c>
      <c r="Z97" s="2">
        <f>IF(AND(A97="line",D97="quote"),COUNTIFS($W$2:$W$500,W97,$D$2:$D$500,"invoice",$A$2:$A$500,"line"),"")</f>
        <v/>
      </c>
      <c r="AA97" s="2">
        <f>IF(AND(A97="line",D97="invoice"),COUNTIFS($W$2:$W$500,W97,$D$2:$D$500,"quote",$A$2:$A$500,"line"),"")</f>
        <v/>
      </c>
      <c r="AB97" s="2">
        <f>IF(A97&lt;&gt;"line","",IF(D97="quote",IF(Z97=0,"quote only",IF(ABS(Y97-N97)&gt;Settings!$B$2,"amount differs","match")),IF(AA97=0,"invoice only","match")))</f>
        <v/>
      </c>
      <c r="AC97" s="2">
        <f>IF(AND(A97="line",AB97&lt;&gt;"match",COUNTIFS($A$2:$A$500,"coverage",$B$2:$B$500,B97,$C$2:$C$500,C97,$D$2:$D$500,"invoice")&gt;0),MAX($AC$1:AC96)+1,"")</f>
        <v/>
      </c>
      <c r="AD97" s="2">
        <f>IF(A97&lt;&gt;"line","",IF(O97="UNMAPPED","no mapping rule",IF(P97="L","low confidence","")))</f>
        <v/>
      </c>
      <c r="AE97" s="2">
        <f>IF(AD97&lt;&gt;"",MAX($AE$1:AE96)+1,"")</f>
        <v/>
      </c>
      <c r="AF97" s="2">
        <f>IF(A97="coverage",MAX($AF$1:AF96)+1,"")</f>
        <v/>
      </c>
      <c r="AG97" s="2">
        <f>IF(A97="line",IF(COUNTIFS($B$1:B96,B97,$C$1:C96,C97,$A$1:A96,"line")=0,MAX($AG$1:AG96)+1,""),"")</f>
        <v/>
      </c>
    </row>
    <row r="98">
      <c r="W98" s="2">
        <f>IF(A98="line",IF(D98="quote",E98,G98)&amp;"|"&amp;LOWER(TRIM(K98)),"")</f>
        <v/>
      </c>
      <c r="X98" s="2">
        <f>IF(OR(O98="LABOUR",O98="INSTALL"),"LABOUR_ALL",IF(O98="","",O98))</f>
        <v/>
      </c>
      <c r="Y98" s="9">
        <f>IF(AND(A98="line",D98="quote"),SUMIFS($N$2:$N$500,$W$2:$W$500,W98,$D$2:$D$500,"invoice",$A$2:$A$500,"line"),"")</f>
        <v/>
      </c>
      <c r="Z98" s="2">
        <f>IF(AND(A98="line",D98="quote"),COUNTIFS($W$2:$W$500,W98,$D$2:$D$500,"invoice",$A$2:$A$500,"line"),"")</f>
        <v/>
      </c>
      <c r="AA98" s="2">
        <f>IF(AND(A98="line",D98="invoice"),COUNTIFS($W$2:$W$500,W98,$D$2:$D$500,"quote",$A$2:$A$500,"line"),"")</f>
        <v/>
      </c>
      <c r="AB98" s="2">
        <f>IF(A98&lt;&gt;"line","",IF(D98="quote",IF(Z98=0,"quote only",IF(ABS(Y98-N98)&gt;Settings!$B$2,"amount differs","match")),IF(AA98=0,"invoice only","match")))</f>
        <v/>
      </c>
      <c r="AC98" s="2">
        <f>IF(AND(A98="line",AB98&lt;&gt;"match",COUNTIFS($A$2:$A$500,"coverage",$B$2:$B$500,B98,$C$2:$C$500,C98,$D$2:$D$500,"invoice")&gt;0),MAX($AC$1:AC97)+1,"")</f>
        <v/>
      </c>
      <c r="AD98" s="2">
        <f>IF(A98&lt;&gt;"line","",IF(O98="UNMAPPED","no mapping rule",IF(P98="L","low confidence","")))</f>
        <v/>
      </c>
      <c r="AE98" s="2">
        <f>IF(AD98&lt;&gt;"",MAX($AE$1:AE97)+1,"")</f>
        <v/>
      </c>
      <c r="AF98" s="2">
        <f>IF(A98="coverage",MAX($AF$1:AF97)+1,"")</f>
        <v/>
      </c>
      <c r="AG98" s="2">
        <f>IF(A98="line",IF(COUNTIFS($B$1:B97,B98,$C$1:C97,C98,$A$1:A97,"line")=0,MAX($AG$1:AG97)+1,""),"")</f>
        <v/>
      </c>
    </row>
    <row r="99">
      <c r="W99" s="2">
        <f>IF(A99="line",IF(D99="quote",E99,G99)&amp;"|"&amp;LOWER(TRIM(K99)),"")</f>
        <v/>
      </c>
      <c r="X99" s="2">
        <f>IF(OR(O99="LABOUR",O99="INSTALL"),"LABOUR_ALL",IF(O99="","",O99))</f>
        <v/>
      </c>
      <c r="Y99" s="9">
        <f>IF(AND(A99="line",D99="quote"),SUMIFS($N$2:$N$500,$W$2:$W$500,W99,$D$2:$D$500,"invoice",$A$2:$A$500,"line"),"")</f>
        <v/>
      </c>
      <c r="Z99" s="2">
        <f>IF(AND(A99="line",D99="quote"),COUNTIFS($W$2:$W$500,W99,$D$2:$D$500,"invoice",$A$2:$A$500,"line"),"")</f>
        <v/>
      </c>
      <c r="AA99" s="2">
        <f>IF(AND(A99="line",D99="invoice"),COUNTIFS($W$2:$W$500,W99,$D$2:$D$500,"quote",$A$2:$A$500,"line"),"")</f>
        <v/>
      </c>
      <c r="AB99" s="2">
        <f>IF(A99&lt;&gt;"line","",IF(D99="quote",IF(Z99=0,"quote only",IF(ABS(Y99-N99)&gt;Settings!$B$2,"amount differs","match")),IF(AA99=0,"invoice only","match")))</f>
        <v/>
      </c>
      <c r="AC99" s="2">
        <f>IF(AND(A99="line",AB99&lt;&gt;"match",COUNTIFS($A$2:$A$500,"coverage",$B$2:$B$500,B99,$C$2:$C$500,C99,$D$2:$D$500,"invoice")&gt;0),MAX($AC$1:AC98)+1,"")</f>
        <v/>
      </c>
      <c r="AD99" s="2">
        <f>IF(A99&lt;&gt;"line","",IF(O99="UNMAPPED","no mapping rule",IF(P99="L","low confidence","")))</f>
        <v/>
      </c>
      <c r="AE99" s="2">
        <f>IF(AD99&lt;&gt;"",MAX($AE$1:AE98)+1,"")</f>
        <v/>
      </c>
      <c r="AF99" s="2">
        <f>IF(A99="coverage",MAX($AF$1:AF98)+1,"")</f>
        <v/>
      </c>
      <c r="AG99" s="2">
        <f>IF(A99="line",IF(COUNTIFS($B$1:B98,B99,$C$1:C98,C99,$A$1:A98,"line")=0,MAX($AG$1:AG98)+1,""),"")</f>
        <v/>
      </c>
    </row>
    <row r="100">
      <c r="W100" s="2">
        <f>IF(A100="line",IF(D100="quote",E100,G100)&amp;"|"&amp;LOWER(TRIM(K100)),"")</f>
        <v/>
      </c>
      <c r="X100" s="2">
        <f>IF(OR(O100="LABOUR",O100="INSTALL"),"LABOUR_ALL",IF(O100="","",O100))</f>
        <v/>
      </c>
      <c r="Y100" s="9">
        <f>IF(AND(A100="line",D100="quote"),SUMIFS($N$2:$N$500,$W$2:$W$500,W100,$D$2:$D$500,"invoice",$A$2:$A$500,"line"),"")</f>
        <v/>
      </c>
      <c r="Z100" s="2">
        <f>IF(AND(A100="line",D100="quote"),COUNTIFS($W$2:$W$500,W100,$D$2:$D$500,"invoice",$A$2:$A$500,"line"),"")</f>
        <v/>
      </c>
      <c r="AA100" s="2">
        <f>IF(AND(A100="line",D100="invoice"),COUNTIFS($W$2:$W$500,W100,$D$2:$D$500,"quote",$A$2:$A$500,"line"),"")</f>
        <v/>
      </c>
      <c r="AB100" s="2">
        <f>IF(A100&lt;&gt;"line","",IF(D100="quote",IF(Z100=0,"quote only",IF(ABS(Y100-N100)&gt;Settings!$B$2,"amount differs","match")),IF(AA100=0,"invoice only","match")))</f>
        <v/>
      </c>
      <c r="AC100" s="2">
        <f>IF(AND(A100="line",AB100&lt;&gt;"match",COUNTIFS($A$2:$A$500,"coverage",$B$2:$B$500,B100,$C$2:$C$500,C100,$D$2:$D$500,"invoice")&gt;0),MAX($AC$1:AC99)+1,"")</f>
        <v/>
      </c>
      <c r="AD100" s="2">
        <f>IF(A100&lt;&gt;"line","",IF(O100="UNMAPPED","no mapping rule",IF(P100="L","low confidence","")))</f>
        <v/>
      </c>
      <c r="AE100" s="2">
        <f>IF(AD100&lt;&gt;"",MAX($AE$1:AE99)+1,"")</f>
        <v/>
      </c>
      <c r="AF100" s="2">
        <f>IF(A100="coverage",MAX($AF$1:AF99)+1,"")</f>
        <v/>
      </c>
      <c r="AG100" s="2">
        <f>IF(A100="line",IF(COUNTIFS($B$1:B99,B100,$C$1:C99,C100,$A$1:A99,"line")=0,MAX($AG$1:AG99)+1,""),"")</f>
        <v/>
      </c>
    </row>
    <row r="101">
      <c r="W101" s="2">
        <f>IF(A101="line",IF(D101="quote",E101,G101)&amp;"|"&amp;LOWER(TRIM(K101)),"")</f>
        <v/>
      </c>
      <c r="X101" s="2">
        <f>IF(OR(O101="LABOUR",O101="INSTALL"),"LABOUR_ALL",IF(O101="","",O101))</f>
        <v/>
      </c>
      <c r="Y101" s="9">
        <f>IF(AND(A101="line",D101="quote"),SUMIFS($N$2:$N$500,$W$2:$W$500,W101,$D$2:$D$500,"invoice",$A$2:$A$500,"line"),"")</f>
        <v/>
      </c>
      <c r="Z101" s="2">
        <f>IF(AND(A101="line",D101="quote"),COUNTIFS($W$2:$W$500,W101,$D$2:$D$500,"invoice",$A$2:$A$500,"line"),"")</f>
        <v/>
      </c>
      <c r="AA101" s="2">
        <f>IF(AND(A101="line",D101="invoice"),COUNTIFS($W$2:$W$500,W101,$D$2:$D$500,"quote",$A$2:$A$500,"line"),"")</f>
        <v/>
      </c>
      <c r="AB101" s="2">
        <f>IF(A101&lt;&gt;"line","",IF(D101="quote",IF(Z101=0,"quote only",IF(ABS(Y101-N101)&gt;Settings!$B$2,"amount differs","match")),IF(AA101=0,"invoice only","match")))</f>
        <v/>
      </c>
      <c r="AC101" s="2">
        <f>IF(AND(A101="line",AB101&lt;&gt;"match",COUNTIFS($A$2:$A$500,"coverage",$B$2:$B$500,B101,$C$2:$C$500,C101,$D$2:$D$500,"invoice")&gt;0),MAX($AC$1:AC100)+1,"")</f>
        <v/>
      </c>
      <c r="AD101" s="2">
        <f>IF(A101&lt;&gt;"line","",IF(O101="UNMAPPED","no mapping rule",IF(P101="L","low confidence","")))</f>
        <v/>
      </c>
      <c r="AE101" s="2">
        <f>IF(AD101&lt;&gt;"",MAX($AE$1:AE100)+1,"")</f>
        <v/>
      </c>
      <c r="AF101" s="2">
        <f>IF(A101="coverage",MAX($AF$1:AF100)+1,"")</f>
        <v/>
      </c>
      <c r="AG101" s="2">
        <f>IF(A101="line",IF(COUNTIFS($B$1:B100,B101,$C$1:C100,C101,$A$1:A100,"line")=0,MAX($AG$1:AG100)+1,""),"")</f>
        <v/>
      </c>
    </row>
    <row r="102">
      <c r="W102" s="2">
        <f>IF(A102="line",IF(D102="quote",E102,G102)&amp;"|"&amp;LOWER(TRIM(K102)),"")</f>
        <v/>
      </c>
      <c r="X102" s="2">
        <f>IF(OR(O102="LABOUR",O102="INSTALL"),"LABOUR_ALL",IF(O102="","",O102))</f>
        <v/>
      </c>
      <c r="Y102" s="9">
        <f>IF(AND(A102="line",D102="quote"),SUMIFS($N$2:$N$500,$W$2:$W$500,W102,$D$2:$D$500,"invoice",$A$2:$A$500,"line"),"")</f>
        <v/>
      </c>
      <c r="Z102" s="2">
        <f>IF(AND(A102="line",D102="quote"),COUNTIFS($W$2:$W$500,W102,$D$2:$D$500,"invoice",$A$2:$A$500,"line"),"")</f>
        <v/>
      </c>
      <c r="AA102" s="2">
        <f>IF(AND(A102="line",D102="invoice"),COUNTIFS($W$2:$W$500,W102,$D$2:$D$500,"quote",$A$2:$A$500,"line"),"")</f>
        <v/>
      </c>
      <c r="AB102" s="2">
        <f>IF(A102&lt;&gt;"line","",IF(D102="quote",IF(Z102=0,"quote only",IF(ABS(Y102-N102)&gt;Settings!$B$2,"amount differs","match")),IF(AA102=0,"invoice only","match")))</f>
        <v/>
      </c>
      <c r="AC102" s="2">
        <f>IF(AND(A102="line",AB102&lt;&gt;"match",COUNTIFS($A$2:$A$500,"coverage",$B$2:$B$500,B102,$C$2:$C$500,C102,$D$2:$D$500,"invoice")&gt;0),MAX($AC$1:AC101)+1,"")</f>
        <v/>
      </c>
      <c r="AD102" s="2">
        <f>IF(A102&lt;&gt;"line","",IF(O102="UNMAPPED","no mapping rule",IF(P102="L","low confidence","")))</f>
        <v/>
      </c>
      <c r="AE102" s="2">
        <f>IF(AD102&lt;&gt;"",MAX($AE$1:AE101)+1,"")</f>
        <v/>
      </c>
      <c r="AF102" s="2">
        <f>IF(A102="coverage",MAX($AF$1:AF101)+1,"")</f>
        <v/>
      </c>
      <c r="AG102" s="2">
        <f>IF(A102="line",IF(COUNTIFS($B$1:B101,B102,$C$1:C101,C102,$A$1:A101,"line")=0,MAX($AG$1:AG101)+1,""),"")</f>
        <v/>
      </c>
    </row>
    <row r="103">
      <c r="W103" s="2">
        <f>IF(A103="line",IF(D103="quote",E103,G103)&amp;"|"&amp;LOWER(TRIM(K103)),"")</f>
        <v/>
      </c>
      <c r="X103" s="2">
        <f>IF(OR(O103="LABOUR",O103="INSTALL"),"LABOUR_ALL",IF(O103="","",O103))</f>
        <v/>
      </c>
      <c r="Y103" s="9">
        <f>IF(AND(A103="line",D103="quote"),SUMIFS($N$2:$N$500,$W$2:$W$500,W103,$D$2:$D$500,"invoice",$A$2:$A$500,"line"),"")</f>
        <v/>
      </c>
      <c r="Z103" s="2">
        <f>IF(AND(A103="line",D103="quote"),COUNTIFS($W$2:$W$500,W103,$D$2:$D$500,"invoice",$A$2:$A$500,"line"),"")</f>
        <v/>
      </c>
      <c r="AA103" s="2">
        <f>IF(AND(A103="line",D103="invoice"),COUNTIFS($W$2:$W$500,W103,$D$2:$D$500,"quote",$A$2:$A$500,"line"),"")</f>
        <v/>
      </c>
      <c r="AB103" s="2">
        <f>IF(A103&lt;&gt;"line","",IF(D103="quote",IF(Z103=0,"quote only",IF(ABS(Y103-N103)&gt;Settings!$B$2,"amount differs","match")),IF(AA103=0,"invoice only","match")))</f>
        <v/>
      </c>
      <c r="AC103" s="2">
        <f>IF(AND(A103="line",AB103&lt;&gt;"match",COUNTIFS($A$2:$A$500,"coverage",$B$2:$B$500,B103,$C$2:$C$500,C103,$D$2:$D$500,"invoice")&gt;0),MAX($AC$1:AC102)+1,"")</f>
        <v/>
      </c>
      <c r="AD103" s="2">
        <f>IF(A103&lt;&gt;"line","",IF(O103="UNMAPPED","no mapping rule",IF(P103="L","low confidence","")))</f>
        <v/>
      </c>
      <c r="AE103" s="2">
        <f>IF(AD103&lt;&gt;"",MAX($AE$1:AE102)+1,"")</f>
        <v/>
      </c>
      <c r="AF103" s="2">
        <f>IF(A103="coverage",MAX($AF$1:AF102)+1,"")</f>
        <v/>
      </c>
      <c r="AG103" s="2">
        <f>IF(A103="line",IF(COUNTIFS($B$1:B102,B103,$C$1:C102,C103,$A$1:A102,"line")=0,MAX($AG$1:AG102)+1,""),"")</f>
        <v/>
      </c>
    </row>
    <row r="104">
      <c r="W104" s="2">
        <f>IF(A104="line",IF(D104="quote",E104,G104)&amp;"|"&amp;LOWER(TRIM(K104)),"")</f>
        <v/>
      </c>
      <c r="X104" s="2">
        <f>IF(OR(O104="LABOUR",O104="INSTALL"),"LABOUR_ALL",IF(O104="","",O104))</f>
        <v/>
      </c>
      <c r="Y104" s="9">
        <f>IF(AND(A104="line",D104="quote"),SUMIFS($N$2:$N$500,$W$2:$W$500,W104,$D$2:$D$500,"invoice",$A$2:$A$500,"line"),"")</f>
        <v/>
      </c>
      <c r="Z104" s="2">
        <f>IF(AND(A104="line",D104="quote"),COUNTIFS($W$2:$W$500,W104,$D$2:$D$500,"invoice",$A$2:$A$500,"line"),"")</f>
        <v/>
      </c>
      <c r="AA104" s="2">
        <f>IF(AND(A104="line",D104="invoice"),COUNTIFS($W$2:$W$500,W104,$D$2:$D$500,"quote",$A$2:$A$500,"line"),"")</f>
        <v/>
      </c>
      <c r="AB104" s="2">
        <f>IF(A104&lt;&gt;"line","",IF(D104="quote",IF(Z104=0,"quote only",IF(ABS(Y104-N104)&gt;Settings!$B$2,"amount differs","match")),IF(AA104=0,"invoice only","match")))</f>
        <v/>
      </c>
      <c r="AC104" s="2">
        <f>IF(AND(A104="line",AB104&lt;&gt;"match",COUNTIFS($A$2:$A$500,"coverage",$B$2:$B$500,B104,$C$2:$C$500,C104,$D$2:$D$500,"invoice")&gt;0),MAX($AC$1:AC103)+1,"")</f>
        <v/>
      </c>
      <c r="AD104" s="2">
        <f>IF(A104&lt;&gt;"line","",IF(O104="UNMAPPED","no mapping rule",IF(P104="L","low confidence","")))</f>
        <v/>
      </c>
      <c r="AE104" s="2">
        <f>IF(AD104&lt;&gt;"",MAX($AE$1:AE103)+1,"")</f>
        <v/>
      </c>
      <c r="AF104" s="2">
        <f>IF(A104="coverage",MAX($AF$1:AF103)+1,"")</f>
        <v/>
      </c>
      <c r="AG104" s="2">
        <f>IF(A104="line",IF(COUNTIFS($B$1:B103,B104,$C$1:C103,C104,$A$1:A103,"line")=0,MAX($AG$1:AG103)+1,""),"")</f>
        <v/>
      </c>
    </row>
    <row r="105">
      <c r="W105" s="2">
        <f>IF(A105="line",IF(D105="quote",E105,G105)&amp;"|"&amp;LOWER(TRIM(K105)),"")</f>
        <v/>
      </c>
      <c r="X105" s="2">
        <f>IF(OR(O105="LABOUR",O105="INSTALL"),"LABOUR_ALL",IF(O105="","",O105))</f>
        <v/>
      </c>
      <c r="Y105" s="9">
        <f>IF(AND(A105="line",D105="quote"),SUMIFS($N$2:$N$500,$W$2:$W$500,W105,$D$2:$D$500,"invoice",$A$2:$A$500,"line"),"")</f>
        <v/>
      </c>
      <c r="Z105" s="2">
        <f>IF(AND(A105="line",D105="quote"),COUNTIFS($W$2:$W$500,W105,$D$2:$D$500,"invoice",$A$2:$A$500,"line"),"")</f>
        <v/>
      </c>
      <c r="AA105" s="2">
        <f>IF(AND(A105="line",D105="invoice"),COUNTIFS($W$2:$W$500,W105,$D$2:$D$500,"quote",$A$2:$A$500,"line"),"")</f>
        <v/>
      </c>
      <c r="AB105" s="2">
        <f>IF(A105&lt;&gt;"line","",IF(D105="quote",IF(Z105=0,"quote only",IF(ABS(Y105-N105)&gt;Settings!$B$2,"amount differs","match")),IF(AA105=0,"invoice only","match")))</f>
        <v/>
      </c>
      <c r="AC105" s="2">
        <f>IF(AND(A105="line",AB105&lt;&gt;"match",COUNTIFS($A$2:$A$500,"coverage",$B$2:$B$500,B105,$C$2:$C$500,C105,$D$2:$D$500,"invoice")&gt;0),MAX($AC$1:AC104)+1,"")</f>
        <v/>
      </c>
      <c r="AD105" s="2">
        <f>IF(A105&lt;&gt;"line","",IF(O105="UNMAPPED","no mapping rule",IF(P105="L","low confidence","")))</f>
        <v/>
      </c>
      <c r="AE105" s="2">
        <f>IF(AD105&lt;&gt;"",MAX($AE$1:AE104)+1,"")</f>
        <v/>
      </c>
      <c r="AF105" s="2">
        <f>IF(A105="coverage",MAX($AF$1:AF104)+1,"")</f>
        <v/>
      </c>
      <c r="AG105" s="2">
        <f>IF(A105="line",IF(COUNTIFS($B$1:B104,B105,$C$1:C104,C105,$A$1:A104,"line")=0,MAX($AG$1:AG104)+1,""),"")</f>
        <v/>
      </c>
    </row>
    <row r="106">
      <c r="W106" s="2">
        <f>IF(A106="line",IF(D106="quote",E106,G106)&amp;"|"&amp;LOWER(TRIM(K106)),"")</f>
        <v/>
      </c>
      <c r="X106" s="2">
        <f>IF(OR(O106="LABOUR",O106="INSTALL"),"LABOUR_ALL",IF(O106="","",O106))</f>
        <v/>
      </c>
      <c r="Y106" s="9">
        <f>IF(AND(A106="line",D106="quote"),SUMIFS($N$2:$N$500,$W$2:$W$500,W106,$D$2:$D$500,"invoice",$A$2:$A$500,"line"),"")</f>
        <v/>
      </c>
      <c r="Z106" s="2">
        <f>IF(AND(A106="line",D106="quote"),COUNTIFS($W$2:$W$500,W106,$D$2:$D$500,"invoice",$A$2:$A$500,"line"),"")</f>
        <v/>
      </c>
      <c r="AA106" s="2">
        <f>IF(AND(A106="line",D106="invoice"),COUNTIFS($W$2:$W$500,W106,$D$2:$D$500,"quote",$A$2:$A$500,"line"),"")</f>
        <v/>
      </c>
      <c r="AB106" s="2">
        <f>IF(A106&lt;&gt;"line","",IF(D106="quote",IF(Z106=0,"quote only",IF(ABS(Y106-N106)&gt;Settings!$B$2,"amount differs","match")),IF(AA106=0,"invoice only","match")))</f>
        <v/>
      </c>
      <c r="AC106" s="2">
        <f>IF(AND(A106="line",AB106&lt;&gt;"match",COUNTIFS($A$2:$A$500,"coverage",$B$2:$B$500,B106,$C$2:$C$500,C106,$D$2:$D$500,"invoice")&gt;0),MAX($AC$1:AC105)+1,"")</f>
        <v/>
      </c>
      <c r="AD106" s="2">
        <f>IF(A106&lt;&gt;"line","",IF(O106="UNMAPPED","no mapping rule",IF(P106="L","low confidence","")))</f>
        <v/>
      </c>
      <c r="AE106" s="2">
        <f>IF(AD106&lt;&gt;"",MAX($AE$1:AE105)+1,"")</f>
        <v/>
      </c>
      <c r="AF106" s="2">
        <f>IF(A106="coverage",MAX($AF$1:AF105)+1,"")</f>
        <v/>
      </c>
      <c r="AG106" s="2">
        <f>IF(A106="line",IF(COUNTIFS($B$1:B105,B106,$C$1:C105,C106,$A$1:A105,"line")=0,MAX($AG$1:AG105)+1,""),"")</f>
        <v/>
      </c>
    </row>
    <row r="107">
      <c r="W107" s="2">
        <f>IF(A107="line",IF(D107="quote",E107,G107)&amp;"|"&amp;LOWER(TRIM(K107)),"")</f>
        <v/>
      </c>
      <c r="X107" s="2">
        <f>IF(OR(O107="LABOUR",O107="INSTALL"),"LABOUR_ALL",IF(O107="","",O107))</f>
        <v/>
      </c>
      <c r="Y107" s="9">
        <f>IF(AND(A107="line",D107="quote"),SUMIFS($N$2:$N$500,$W$2:$W$500,W107,$D$2:$D$500,"invoice",$A$2:$A$500,"line"),"")</f>
        <v/>
      </c>
      <c r="Z107" s="2">
        <f>IF(AND(A107="line",D107="quote"),COUNTIFS($W$2:$W$500,W107,$D$2:$D$500,"invoice",$A$2:$A$500,"line"),"")</f>
        <v/>
      </c>
      <c r="AA107" s="2">
        <f>IF(AND(A107="line",D107="invoice"),COUNTIFS($W$2:$W$500,W107,$D$2:$D$500,"quote",$A$2:$A$500,"line"),"")</f>
        <v/>
      </c>
      <c r="AB107" s="2">
        <f>IF(A107&lt;&gt;"line","",IF(D107="quote",IF(Z107=0,"quote only",IF(ABS(Y107-N107)&gt;Settings!$B$2,"amount differs","match")),IF(AA107=0,"invoice only","match")))</f>
        <v/>
      </c>
      <c r="AC107" s="2">
        <f>IF(AND(A107="line",AB107&lt;&gt;"match",COUNTIFS($A$2:$A$500,"coverage",$B$2:$B$500,B107,$C$2:$C$500,C107,$D$2:$D$500,"invoice")&gt;0),MAX($AC$1:AC106)+1,"")</f>
        <v/>
      </c>
      <c r="AD107" s="2">
        <f>IF(A107&lt;&gt;"line","",IF(O107="UNMAPPED","no mapping rule",IF(P107="L","low confidence","")))</f>
        <v/>
      </c>
      <c r="AE107" s="2">
        <f>IF(AD107&lt;&gt;"",MAX($AE$1:AE106)+1,"")</f>
        <v/>
      </c>
      <c r="AF107" s="2">
        <f>IF(A107="coverage",MAX($AF$1:AF106)+1,"")</f>
        <v/>
      </c>
      <c r="AG107" s="2">
        <f>IF(A107="line",IF(COUNTIFS($B$1:B106,B107,$C$1:C106,C107,$A$1:A106,"line")=0,MAX($AG$1:AG106)+1,""),"")</f>
        <v/>
      </c>
    </row>
    <row r="108">
      <c r="W108" s="2">
        <f>IF(A108="line",IF(D108="quote",E108,G108)&amp;"|"&amp;LOWER(TRIM(K108)),"")</f>
        <v/>
      </c>
      <c r="X108" s="2">
        <f>IF(OR(O108="LABOUR",O108="INSTALL"),"LABOUR_ALL",IF(O108="","",O108))</f>
        <v/>
      </c>
      <c r="Y108" s="9">
        <f>IF(AND(A108="line",D108="quote"),SUMIFS($N$2:$N$500,$W$2:$W$500,W108,$D$2:$D$500,"invoice",$A$2:$A$500,"line"),"")</f>
        <v/>
      </c>
      <c r="Z108" s="2">
        <f>IF(AND(A108="line",D108="quote"),COUNTIFS($W$2:$W$500,W108,$D$2:$D$500,"invoice",$A$2:$A$500,"line"),"")</f>
        <v/>
      </c>
      <c r="AA108" s="2">
        <f>IF(AND(A108="line",D108="invoice"),COUNTIFS($W$2:$W$500,W108,$D$2:$D$500,"quote",$A$2:$A$500,"line"),"")</f>
        <v/>
      </c>
      <c r="AB108" s="2">
        <f>IF(A108&lt;&gt;"line","",IF(D108="quote",IF(Z108=0,"quote only",IF(ABS(Y108-N108)&gt;Settings!$B$2,"amount differs","match")),IF(AA108=0,"invoice only","match")))</f>
        <v/>
      </c>
      <c r="AC108" s="2">
        <f>IF(AND(A108="line",AB108&lt;&gt;"match",COUNTIFS($A$2:$A$500,"coverage",$B$2:$B$500,B108,$C$2:$C$500,C108,$D$2:$D$500,"invoice")&gt;0),MAX($AC$1:AC107)+1,"")</f>
        <v/>
      </c>
      <c r="AD108" s="2">
        <f>IF(A108&lt;&gt;"line","",IF(O108="UNMAPPED","no mapping rule",IF(P108="L","low confidence","")))</f>
        <v/>
      </c>
      <c r="AE108" s="2">
        <f>IF(AD108&lt;&gt;"",MAX($AE$1:AE107)+1,"")</f>
        <v/>
      </c>
      <c r="AF108" s="2">
        <f>IF(A108="coverage",MAX($AF$1:AF107)+1,"")</f>
        <v/>
      </c>
      <c r="AG108" s="2">
        <f>IF(A108="line",IF(COUNTIFS($B$1:B107,B108,$C$1:C107,C108,$A$1:A107,"line")=0,MAX($AG$1:AG107)+1,""),"")</f>
        <v/>
      </c>
    </row>
    <row r="109">
      <c r="W109" s="2">
        <f>IF(A109="line",IF(D109="quote",E109,G109)&amp;"|"&amp;LOWER(TRIM(K109)),"")</f>
        <v/>
      </c>
      <c r="X109" s="2">
        <f>IF(OR(O109="LABOUR",O109="INSTALL"),"LABOUR_ALL",IF(O109="","",O109))</f>
        <v/>
      </c>
      <c r="Y109" s="9">
        <f>IF(AND(A109="line",D109="quote"),SUMIFS($N$2:$N$500,$W$2:$W$500,W109,$D$2:$D$500,"invoice",$A$2:$A$500,"line"),"")</f>
        <v/>
      </c>
      <c r="Z109" s="2">
        <f>IF(AND(A109="line",D109="quote"),COUNTIFS($W$2:$W$500,W109,$D$2:$D$500,"invoice",$A$2:$A$500,"line"),"")</f>
        <v/>
      </c>
      <c r="AA109" s="2">
        <f>IF(AND(A109="line",D109="invoice"),COUNTIFS($W$2:$W$500,W109,$D$2:$D$500,"quote",$A$2:$A$500,"line"),"")</f>
        <v/>
      </c>
      <c r="AB109" s="2">
        <f>IF(A109&lt;&gt;"line","",IF(D109="quote",IF(Z109=0,"quote only",IF(ABS(Y109-N109)&gt;Settings!$B$2,"amount differs","match")),IF(AA109=0,"invoice only","match")))</f>
        <v/>
      </c>
      <c r="AC109" s="2">
        <f>IF(AND(A109="line",AB109&lt;&gt;"match",COUNTIFS($A$2:$A$500,"coverage",$B$2:$B$500,B109,$C$2:$C$500,C109,$D$2:$D$500,"invoice")&gt;0),MAX($AC$1:AC108)+1,"")</f>
        <v/>
      </c>
      <c r="AD109" s="2">
        <f>IF(A109&lt;&gt;"line","",IF(O109="UNMAPPED","no mapping rule",IF(P109="L","low confidence","")))</f>
        <v/>
      </c>
      <c r="AE109" s="2">
        <f>IF(AD109&lt;&gt;"",MAX($AE$1:AE108)+1,"")</f>
        <v/>
      </c>
      <c r="AF109" s="2">
        <f>IF(A109="coverage",MAX($AF$1:AF108)+1,"")</f>
        <v/>
      </c>
      <c r="AG109" s="2">
        <f>IF(A109="line",IF(COUNTIFS($B$1:B108,B109,$C$1:C108,C109,$A$1:A108,"line")=0,MAX($AG$1:AG108)+1,""),"")</f>
        <v/>
      </c>
    </row>
    <row r="110">
      <c r="W110" s="2">
        <f>IF(A110="line",IF(D110="quote",E110,G110)&amp;"|"&amp;LOWER(TRIM(K110)),"")</f>
        <v/>
      </c>
      <c r="X110" s="2">
        <f>IF(OR(O110="LABOUR",O110="INSTALL"),"LABOUR_ALL",IF(O110="","",O110))</f>
        <v/>
      </c>
      <c r="Y110" s="9">
        <f>IF(AND(A110="line",D110="quote"),SUMIFS($N$2:$N$500,$W$2:$W$500,W110,$D$2:$D$500,"invoice",$A$2:$A$500,"line"),"")</f>
        <v/>
      </c>
      <c r="Z110" s="2">
        <f>IF(AND(A110="line",D110="quote"),COUNTIFS($W$2:$W$500,W110,$D$2:$D$500,"invoice",$A$2:$A$500,"line"),"")</f>
        <v/>
      </c>
      <c r="AA110" s="2">
        <f>IF(AND(A110="line",D110="invoice"),COUNTIFS($W$2:$W$500,W110,$D$2:$D$500,"quote",$A$2:$A$500,"line"),"")</f>
        <v/>
      </c>
      <c r="AB110" s="2">
        <f>IF(A110&lt;&gt;"line","",IF(D110="quote",IF(Z110=0,"quote only",IF(ABS(Y110-N110)&gt;Settings!$B$2,"amount differs","match")),IF(AA110=0,"invoice only","match")))</f>
        <v/>
      </c>
      <c r="AC110" s="2">
        <f>IF(AND(A110="line",AB110&lt;&gt;"match",COUNTIFS($A$2:$A$500,"coverage",$B$2:$B$500,B110,$C$2:$C$500,C110,$D$2:$D$500,"invoice")&gt;0),MAX($AC$1:AC109)+1,"")</f>
        <v/>
      </c>
      <c r="AD110" s="2">
        <f>IF(A110&lt;&gt;"line","",IF(O110="UNMAPPED","no mapping rule",IF(P110="L","low confidence","")))</f>
        <v/>
      </c>
      <c r="AE110" s="2">
        <f>IF(AD110&lt;&gt;"",MAX($AE$1:AE109)+1,"")</f>
        <v/>
      </c>
      <c r="AF110" s="2">
        <f>IF(A110="coverage",MAX($AF$1:AF109)+1,"")</f>
        <v/>
      </c>
      <c r="AG110" s="2">
        <f>IF(A110="line",IF(COUNTIFS($B$1:B109,B110,$C$1:C109,C110,$A$1:A109,"line")=0,MAX($AG$1:AG109)+1,""),"")</f>
        <v/>
      </c>
    </row>
    <row r="111">
      <c r="W111" s="2">
        <f>IF(A111="line",IF(D111="quote",E111,G111)&amp;"|"&amp;LOWER(TRIM(K111)),"")</f>
        <v/>
      </c>
      <c r="X111" s="2">
        <f>IF(OR(O111="LABOUR",O111="INSTALL"),"LABOUR_ALL",IF(O111="","",O111))</f>
        <v/>
      </c>
      <c r="Y111" s="9">
        <f>IF(AND(A111="line",D111="quote"),SUMIFS($N$2:$N$500,$W$2:$W$500,W111,$D$2:$D$500,"invoice",$A$2:$A$500,"line"),"")</f>
        <v/>
      </c>
      <c r="Z111" s="2">
        <f>IF(AND(A111="line",D111="quote"),COUNTIFS($W$2:$W$500,W111,$D$2:$D$500,"invoice",$A$2:$A$500,"line"),"")</f>
        <v/>
      </c>
      <c r="AA111" s="2">
        <f>IF(AND(A111="line",D111="invoice"),COUNTIFS($W$2:$W$500,W111,$D$2:$D$500,"quote",$A$2:$A$500,"line"),"")</f>
        <v/>
      </c>
      <c r="AB111" s="2">
        <f>IF(A111&lt;&gt;"line","",IF(D111="quote",IF(Z111=0,"quote only",IF(ABS(Y111-N111)&gt;Settings!$B$2,"amount differs","match")),IF(AA111=0,"invoice only","match")))</f>
        <v/>
      </c>
      <c r="AC111" s="2">
        <f>IF(AND(A111="line",AB111&lt;&gt;"match",COUNTIFS($A$2:$A$500,"coverage",$B$2:$B$500,B111,$C$2:$C$500,C111,$D$2:$D$500,"invoice")&gt;0),MAX($AC$1:AC110)+1,"")</f>
        <v/>
      </c>
      <c r="AD111" s="2">
        <f>IF(A111&lt;&gt;"line","",IF(O111="UNMAPPED","no mapping rule",IF(P111="L","low confidence","")))</f>
        <v/>
      </c>
      <c r="AE111" s="2">
        <f>IF(AD111&lt;&gt;"",MAX($AE$1:AE110)+1,"")</f>
        <v/>
      </c>
      <c r="AF111" s="2">
        <f>IF(A111="coverage",MAX($AF$1:AF110)+1,"")</f>
        <v/>
      </c>
      <c r="AG111" s="2">
        <f>IF(A111="line",IF(COUNTIFS($B$1:B110,B111,$C$1:C110,C111,$A$1:A110,"line")=0,MAX($AG$1:AG110)+1,""),"")</f>
        <v/>
      </c>
    </row>
    <row r="112">
      <c r="W112" s="2">
        <f>IF(A112="line",IF(D112="quote",E112,G112)&amp;"|"&amp;LOWER(TRIM(K112)),"")</f>
        <v/>
      </c>
      <c r="X112" s="2">
        <f>IF(OR(O112="LABOUR",O112="INSTALL"),"LABOUR_ALL",IF(O112="","",O112))</f>
        <v/>
      </c>
      <c r="Y112" s="9">
        <f>IF(AND(A112="line",D112="quote"),SUMIFS($N$2:$N$500,$W$2:$W$500,W112,$D$2:$D$500,"invoice",$A$2:$A$500,"line"),"")</f>
        <v/>
      </c>
      <c r="Z112" s="2">
        <f>IF(AND(A112="line",D112="quote"),COUNTIFS($W$2:$W$500,W112,$D$2:$D$500,"invoice",$A$2:$A$500,"line"),"")</f>
        <v/>
      </c>
      <c r="AA112" s="2">
        <f>IF(AND(A112="line",D112="invoice"),COUNTIFS($W$2:$W$500,W112,$D$2:$D$500,"quote",$A$2:$A$500,"line"),"")</f>
        <v/>
      </c>
      <c r="AB112" s="2">
        <f>IF(A112&lt;&gt;"line","",IF(D112="quote",IF(Z112=0,"quote only",IF(ABS(Y112-N112)&gt;Settings!$B$2,"amount differs","match")),IF(AA112=0,"invoice only","match")))</f>
        <v/>
      </c>
      <c r="AC112" s="2">
        <f>IF(AND(A112="line",AB112&lt;&gt;"match",COUNTIFS($A$2:$A$500,"coverage",$B$2:$B$500,B112,$C$2:$C$500,C112,$D$2:$D$500,"invoice")&gt;0),MAX($AC$1:AC111)+1,"")</f>
        <v/>
      </c>
      <c r="AD112" s="2">
        <f>IF(A112&lt;&gt;"line","",IF(O112="UNMAPPED","no mapping rule",IF(P112="L","low confidence","")))</f>
        <v/>
      </c>
      <c r="AE112" s="2">
        <f>IF(AD112&lt;&gt;"",MAX($AE$1:AE111)+1,"")</f>
        <v/>
      </c>
      <c r="AF112" s="2">
        <f>IF(A112="coverage",MAX($AF$1:AF111)+1,"")</f>
        <v/>
      </c>
      <c r="AG112" s="2">
        <f>IF(A112="line",IF(COUNTIFS($B$1:B111,B112,$C$1:C111,C112,$A$1:A111,"line")=0,MAX($AG$1:AG111)+1,""),"")</f>
        <v/>
      </c>
    </row>
    <row r="113">
      <c r="W113" s="2">
        <f>IF(A113="line",IF(D113="quote",E113,G113)&amp;"|"&amp;LOWER(TRIM(K113)),"")</f>
        <v/>
      </c>
      <c r="X113" s="2">
        <f>IF(OR(O113="LABOUR",O113="INSTALL"),"LABOUR_ALL",IF(O113="","",O113))</f>
        <v/>
      </c>
      <c r="Y113" s="9">
        <f>IF(AND(A113="line",D113="quote"),SUMIFS($N$2:$N$500,$W$2:$W$500,W113,$D$2:$D$500,"invoice",$A$2:$A$500,"line"),"")</f>
        <v/>
      </c>
      <c r="Z113" s="2">
        <f>IF(AND(A113="line",D113="quote"),COUNTIFS($W$2:$W$500,W113,$D$2:$D$500,"invoice",$A$2:$A$500,"line"),"")</f>
        <v/>
      </c>
      <c r="AA113" s="2">
        <f>IF(AND(A113="line",D113="invoice"),COUNTIFS($W$2:$W$500,W113,$D$2:$D$500,"quote",$A$2:$A$500,"line"),"")</f>
        <v/>
      </c>
      <c r="AB113" s="2">
        <f>IF(A113&lt;&gt;"line","",IF(D113="quote",IF(Z113=0,"quote only",IF(ABS(Y113-N113)&gt;Settings!$B$2,"amount differs","match")),IF(AA113=0,"invoice only","match")))</f>
        <v/>
      </c>
      <c r="AC113" s="2">
        <f>IF(AND(A113="line",AB113&lt;&gt;"match",COUNTIFS($A$2:$A$500,"coverage",$B$2:$B$500,B113,$C$2:$C$500,C113,$D$2:$D$500,"invoice")&gt;0),MAX($AC$1:AC112)+1,"")</f>
        <v/>
      </c>
      <c r="AD113" s="2">
        <f>IF(A113&lt;&gt;"line","",IF(O113="UNMAPPED","no mapping rule",IF(P113="L","low confidence","")))</f>
        <v/>
      </c>
      <c r="AE113" s="2">
        <f>IF(AD113&lt;&gt;"",MAX($AE$1:AE112)+1,"")</f>
        <v/>
      </c>
      <c r="AF113" s="2">
        <f>IF(A113="coverage",MAX($AF$1:AF112)+1,"")</f>
        <v/>
      </c>
      <c r="AG113" s="2">
        <f>IF(A113="line",IF(COUNTIFS($B$1:B112,B113,$C$1:C112,C113,$A$1:A112,"line")=0,MAX($AG$1:AG112)+1,""),"")</f>
        <v/>
      </c>
    </row>
    <row r="114">
      <c r="W114" s="2">
        <f>IF(A114="line",IF(D114="quote",E114,G114)&amp;"|"&amp;LOWER(TRIM(K114)),"")</f>
        <v/>
      </c>
      <c r="X114" s="2">
        <f>IF(OR(O114="LABOUR",O114="INSTALL"),"LABOUR_ALL",IF(O114="","",O114))</f>
        <v/>
      </c>
      <c r="Y114" s="9">
        <f>IF(AND(A114="line",D114="quote"),SUMIFS($N$2:$N$500,$W$2:$W$500,W114,$D$2:$D$500,"invoice",$A$2:$A$500,"line"),"")</f>
        <v/>
      </c>
      <c r="Z114" s="2">
        <f>IF(AND(A114="line",D114="quote"),COUNTIFS($W$2:$W$500,W114,$D$2:$D$500,"invoice",$A$2:$A$500,"line"),"")</f>
        <v/>
      </c>
      <c r="AA114" s="2">
        <f>IF(AND(A114="line",D114="invoice"),COUNTIFS($W$2:$W$500,W114,$D$2:$D$500,"quote",$A$2:$A$500,"line"),"")</f>
        <v/>
      </c>
      <c r="AB114" s="2">
        <f>IF(A114&lt;&gt;"line","",IF(D114="quote",IF(Z114=0,"quote only",IF(ABS(Y114-N114)&gt;Settings!$B$2,"amount differs","match")),IF(AA114=0,"invoice only","match")))</f>
        <v/>
      </c>
      <c r="AC114" s="2">
        <f>IF(AND(A114="line",AB114&lt;&gt;"match",COUNTIFS($A$2:$A$500,"coverage",$B$2:$B$500,B114,$C$2:$C$500,C114,$D$2:$D$500,"invoice")&gt;0),MAX($AC$1:AC113)+1,"")</f>
        <v/>
      </c>
      <c r="AD114" s="2">
        <f>IF(A114&lt;&gt;"line","",IF(O114="UNMAPPED","no mapping rule",IF(P114="L","low confidence","")))</f>
        <v/>
      </c>
      <c r="AE114" s="2">
        <f>IF(AD114&lt;&gt;"",MAX($AE$1:AE113)+1,"")</f>
        <v/>
      </c>
      <c r="AF114" s="2">
        <f>IF(A114="coverage",MAX($AF$1:AF113)+1,"")</f>
        <v/>
      </c>
      <c r="AG114" s="2">
        <f>IF(A114="line",IF(COUNTIFS($B$1:B113,B114,$C$1:C113,C114,$A$1:A113,"line")=0,MAX($AG$1:AG113)+1,""),"")</f>
        <v/>
      </c>
    </row>
    <row r="115">
      <c r="W115" s="2">
        <f>IF(A115="line",IF(D115="quote",E115,G115)&amp;"|"&amp;LOWER(TRIM(K115)),"")</f>
        <v/>
      </c>
      <c r="X115" s="2">
        <f>IF(OR(O115="LABOUR",O115="INSTALL"),"LABOUR_ALL",IF(O115="","",O115))</f>
        <v/>
      </c>
      <c r="Y115" s="9">
        <f>IF(AND(A115="line",D115="quote"),SUMIFS($N$2:$N$500,$W$2:$W$500,W115,$D$2:$D$500,"invoice",$A$2:$A$500,"line"),"")</f>
        <v/>
      </c>
      <c r="Z115" s="2">
        <f>IF(AND(A115="line",D115="quote"),COUNTIFS($W$2:$W$500,W115,$D$2:$D$500,"invoice",$A$2:$A$500,"line"),"")</f>
        <v/>
      </c>
      <c r="AA115" s="2">
        <f>IF(AND(A115="line",D115="invoice"),COUNTIFS($W$2:$W$500,W115,$D$2:$D$500,"quote",$A$2:$A$500,"line"),"")</f>
        <v/>
      </c>
      <c r="AB115" s="2">
        <f>IF(A115&lt;&gt;"line","",IF(D115="quote",IF(Z115=0,"quote only",IF(ABS(Y115-N115)&gt;Settings!$B$2,"amount differs","match")),IF(AA115=0,"invoice only","match")))</f>
        <v/>
      </c>
      <c r="AC115" s="2">
        <f>IF(AND(A115="line",AB115&lt;&gt;"match",COUNTIFS($A$2:$A$500,"coverage",$B$2:$B$500,B115,$C$2:$C$500,C115,$D$2:$D$500,"invoice")&gt;0),MAX($AC$1:AC114)+1,"")</f>
        <v/>
      </c>
      <c r="AD115" s="2">
        <f>IF(A115&lt;&gt;"line","",IF(O115="UNMAPPED","no mapping rule",IF(P115="L","low confidence","")))</f>
        <v/>
      </c>
      <c r="AE115" s="2">
        <f>IF(AD115&lt;&gt;"",MAX($AE$1:AE114)+1,"")</f>
        <v/>
      </c>
      <c r="AF115" s="2">
        <f>IF(A115="coverage",MAX($AF$1:AF114)+1,"")</f>
        <v/>
      </c>
      <c r="AG115" s="2">
        <f>IF(A115="line",IF(COUNTIFS($B$1:B114,B115,$C$1:C114,C115,$A$1:A114,"line")=0,MAX($AG$1:AG114)+1,""),"")</f>
        <v/>
      </c>
    </row>
    <row r="116">
      <c r="W116" s="2">
        <f>IF(A116="line",IF(D116="quote",E116,G116)&amp;"|"&amp;LOWER(TRIM(K116)),"")</f>
        <v/>
      </c>
      <c r="X116" s="2">
        <f>IF(OR(O116="LABOUR",O116="INSTALL"),"LABOUR_ALL",IF(O116="","",O116))</f>
        <v/>
      </c>
      <c r="Y116" s="9">
        <f>IF(AND(A116="line",D116="quote"),SUMIFS($N$2:$N$500,$W$2:$W$500,W116,$D$2:$D$500,"invoice",$A$2:$A$500,"line"),"")</f>
        <v/>
      </c>
      <c r="Z116" s="2">
        <f>IF(AND(A116="line",D116="quote"),COUNTIFS($W$2:$W$500,W116,$D$2:$D$500,"invoice",$A$2:$A$500,"line"),"")</f>
        <v/>
      </c>
      <c r="AA116" s="2">
        <f>IF(AND(A116="line",D116="invoice"),COUNTIFS($W$2:$W$500,W116,$D$2:$D$500,"quote",$A$2:$A$500,"line"),"")</f>
        <v/>
      </c>
      <c r="AB116" s="2">
        <f>IF(A116&lt;&gt;"line","",IF(D116="quote",IF(Z116=0,"quote only",IF(ABS(Y116-N116)&gt;Settings!$B$2,"amount differs","match")),IF(AA116=0,"invoice only","match")))</f>
        <v/>
      </c>
      <c r="AC116" s="2">
        <f>IF(AND(A116="line",AB116&lt;&gt;"match",COUNTIFS($A$2:$A$500,"coverage",$B$2:$B$500,B116,$C$2:$C$500,C116,$D$2:$D$500,"invoice")&gt;0),MAX($AC$1:AC115)+1,"")</f>
        <v/>
      </c>
      <c r="AD116" s="2">
        <f>IF(A116&lt;&gt;"line","",IF(O116="UNMAPPED","no mapping rule",IF(P116="L","low confidence","")))</f>
        <v/>
      </c>
      <c r="AE116" s="2">
        <f>IF(AD116&lt;&gt;"",MAX($AE$1:AE115)+1,"")</f>
        <v/>
      </c>
      <c r="AF116" s="2">
        <f>IF(A116="coverage",MAX($AF$1:AF115)+1,"")</f>
        <v/>
      </c>
      <c r="AG116" s="2">
        <f>IF(A116="line",IF(COUNTIFS($B$1:B115,B116,$C$1:C115,C116,$A$1:A115,"line")=0,MAX($AG$1:AG115)+1,""),"")</f>
        <v/>
      </c>
    </row>
    <row r="117">
      <c r="W117" s="2">
        <f>IF(A117="line",IF(D117="quote",E117,G117)&amp;"|"&amp;LOWER(TRIM(K117)),"")</f>
        <v/>
      </c>
      <c r="X117" s="2">
        <f>IF(OR(O117="LABOUR",O117="INSTALL"),"LABOUR_ALL",IF(O117="","",O117))</f>
        <v/>
      </c>
      <c r="Y117" s="9">
        <f>IF(AND(A117="line",D117="quote"),SUMIFS($N$2:$N$500,$W$2:$W$500,W117,$D$2:$D$500,"invoice",$A$2:$A$500,"line"),"")</f>
        <v/>
      </c>
      <c r="Z117" s="2">
        <f>IF(AND(A117="line",D117="quote"),COUNTIFS($W$2:$W$500,W117,$D$2:$D$500,"invoice",$A$2:$A$500,"line"),"")</f>
        <v/>
      </c>
      <c r="AA117" s="2">
        <f>IF(AND(A117="line",D117="invoice"),COUNTIFS($W$2:$W$500,W117,$D$2:$D$500,"quote",$A$2:$A$500,"line"),"")</f>
        <v/>
      </c>
      <c r="AB117" s="2">
        <f>IF(A117&lt;&gt;"line","",IF(D117="quote",IF(Z117=0,"quote only",IF(ABS(Y117-N117)&gt;Settings!$B$2,"amount differs","match")),IF(AA117=0,"invoice only","match")))</f>
        <v/>
      </c>
      <c r="AC117" s="2">
        <f>IF(AND(A117="line",AB117&lt;&gt;"match",COUNTIFS($A$2:$A$500,"coverage",$B$2:$B$500,B117,$C$2:$C$500,C117,$D$2:$D$500,"invoice")&gt;0),MAX($AC$1:AC116)+1,"")</f>
        <v/>
      </c>
      <c r="AD117" s="2">
        <f>IF(A117&lt;&gt;"line","",IF(O117="UNMAPPED","no mapping rule",IF(P117="L","low confidence","")))</f>
        <v/>
      </c>
      <c r="AE117" s="2">
        <f>IF(AD117&lt;&gt;"",MAX($AE$1:AE116)+1,"")</f>
        <v/>
      </c>
      <c r="AF117" s="2">
        <f>IF(A117="coverage",MAX($AF$1:AF116)+1,"")</f>
        <v/>
      </c>
      <c r="AG117" s="2">
        <f>IF(A117="line",IF(COUNTIFS($B$1:B116,B117,$C$1:C116,C117,$A$1:A116,"line")=0,MAX($AG$1:AG116)+1,""),"")</f>
        <v/>
      </c>
    </row>
    <row r="118">
      <c r="W118" s="2">
        <f>IF(A118="line",IF(D118="quote",E118,G118)&amp;"|"&amp;LOWER(TRIM(K118)),"")</f>
        <v/>
      </c>
      <c r="X118" s="2">
        <f>IF(OR(O118="LABOUR",O118="INSTALL"),"LABOUR_ALL",IF(O118="","",O118))</f>
        <v/>
      </c>
      <c r="Y118" s="9">
        <f>IF(AND(A118="line",D118="quote"),SUMIFS($N$2:$N$500,$W$2:$W$500,W118,$D$2:$D$500,"invoice",$A$2:$A$500,"line"),"")</f>
        <v/>
      </c>
      <c r="Z118" s="2">
        <f>IF(AND(A118="line",D118="quote"),COUNTIFS($W$2:$W$500,W118,$D$2:$D$500,"invoice",$A$2:$A$500,"line"),"")</f>
        <v/>
      </c>
      <c r="AA118" s="2">
        <f>IF(AND(A118="line",D118="invoice"),COUNTIFS($W$2:$W$500,W118,$D$2:$D$500,"quote",$A$2:$A$500,"line"),"")</f>
        <v/>
      </c>
      <c r="AB118" s="2">
        <f>IF(A118&lt;&gt;"line","",IF(D118="quote",IF(Z118=0,"quote only",IF(ABS(Y118-N118)&gt;Settings!$B$2,"amount differs","match")),IF(AA118=0,"invoice only","match")))</f>
        <v/>
      </c>
      <c r="AC118" s="2">
        <f>IF(AND(A118="line",AB118&lt;&gt;"match",COUNTIFS($A$2:$A$500,"coverage",$B$2:$B$500,B118,$C$2:$C$500,C118,$D$2:$D$500,"invoice")&gt;0),MAX($AC$1:AC117)+1,"")</f>
        <v/>
      </c>
      <c r="AD118" s="2">
        <f>IF(A118&lt;&gt;"line","",IF(O118="UNMAPPED","no mapping rule",IF(P118="L","low confidence","")))</f>
        <v/>
      </c>
      <c r="AE118" s="2">
        <f>IF(AD118&lt;&gt;"",MAX($AE$1:AE117)+1,"")</f>
        <v/>
      </c>
      <c r="AF118" s="2">
        <f>IF(A118="coverage",MAX($AF$1:AF117)+1,"")</f>
        <v/>
      </c>
      <c r="AG118" s="2">
        <f>IF(A118="line",IF(COUNTIFS($B$1:B117,B118,$C$1:C117,C118,$A$1:A117,"line")=0,MAX($AG$1:AG117)+1,""),"")</f>
        <v/>
      </c>
    </row>
    <row r="119">
      <c r="W119" s="2">
        <f>IF(A119="line",IF(D119="quote",E119,G119)&amp;"|"&amp;LOWER(TRIM(K119)),"")</f>
        <v/>
      </c>
      <c r="X119" s="2">
        <f>IF(OR(O119="LABOUR",O119="INSTALL"),"LABOUR_ALL",IF(O119="","",O119))</f>
        <v/>
      </c>
      <c r="Y119" s="9">
        <f>IF(AND(A119="line",D119="quote"),SUMIFS($N$2:$N$500,$W$2:$W$500,W119,$D$2:$D$500,"invoice",$A$2:$A$500,"line"),"")</f>
        <v/>
      </c>
      <c r="Z119" s="2">
        <f>IF(AND(A119="line",D119="quote"),COUNTIFS($W$2:$W$500,W119,$D$2:$D$500,"invoice",$A$2:$A$500,"line"),"")</f>
        <v/>
      </c>
      <c r="AA119" s="2">
        <f>IF(AND(A119="line",D119="invoice"),COUNTIFS($W$2:$W$500,W119,$D$2:$D$500,"quote",$A$2:$A$500,"line"),"")</f>
        <v/>
      </c>
      <c r="AB119" s="2">
        <f>IF(A119&lt;&gt;"line","",IF(D119="quote",IF(Z119=0,"quote only",IF(ABS(Y119-N119)&gt;Settings!$B$2,"amount differs","match")),IF(AA119=0,"invoice only","match")))</f>
        <v/>
      </c>
      <c r="AC119" s="2">
        <f>IF(AND(A119="line",AB119&lt;&gt;"match",COUNTIFS($A$2:$A$500,"coverage",$B$2:$B$500,B119,$C$2:$C$500,C119,$D$2:$D$500,"invoice")&gt;0),MAX($AC$1:AC118)+1,"")</f>
        <v/>
      </c>
      <c r="AD119" s="2">
        <f>IF(A119&lt;&gt;"line","",IF(O119="UNMAPPED","no mapping rule",IF(P119="L","low confidence","")))</f>
        <v/>
      </c>
      <c r="AE119" s="2">
        <f>IF(AD119&lt;&gt;"",MAX($AE$1:AE118)+1,"")</f>
        <v/>
      </c>
      <c r="AF119" s="2">
        <f>IF(A119="coverage",MAX($AF$1:AF118)+1,"")</f>
        <v/>
      </c>
      <c r="AG119" s="2">
        <f>IF(A119="line",IF(COUNTIFS($B$1:B118,B119,$C$1:C118,C119,$A$1:A118,"line")=0,MAX($AG$1:AG118)+1,""),"")</f>
        <v/>
      </c>
    </row>
    <row r="120">
      <c r="W120" s="2">
        <f>IF(A120="line",IF(D120="quote",E120,G120)&amp;"|"&amp;LOWER(TRIM(K120)),"")</f>
        <v/>
      </c>
      <c r="X120" s="2">
        <f>IF(OR(O120="LABOUR",O120="INSTALL"),"LABOUR_ALL",IF(O120="","",O120))</f>
        <v/>
      </c>
      <c r="Y120" s="9">
        <f>IF(AND(A120="line",D120="quote"),SUMIFS($N$2:$N$500,$W$2:$W$500,W120,$D$2:$D$500,"invoice",$A$2:$A$500,"line"),"")</f>
        <v/>
      </c>
      <c r="Z120" s="2">
        <f>IF(AND(A120="line",D120="quote"),COUNTIFS($W$2:$W$500,W120,$D$2:$D$500,"invoice",$A$2:$A$500,"line"),"")</f>
        <v/>
      </c>
      <c r="AA120" s="2">
        <f>IF(AND(A120="line",D120="invoice"),COUNTIFS($W$2:$W$500,W120,$D$2:$D$500,"quote",$A$2:$A$500,"line"),"")</f>
        <v/>
      </c>
      <c r="AB120" s="2">
        <f>IF(A120&lt;&gt;"line","",IF(D120="quote",IF(Z120=0,"quote only",IF(ABS(Y120-N120)&gt;Settings!$B$2,"amount differs","match")),IF(AA120=0,"invoice only","match")))</f>
        <v/>
      </c>
      <c r="AC120" s="2">
        <f>IF(AND(A120="line",AB120&lt;&gt;"match",COUNTIFS($A$2:$A$500,"coverage",$B$2:$B$500,B120,$C$2:$C$500,C120,$D$2:$D$500,"invoice")&gt;0),MAX($AC$1:AC119)+1,"")</f>
        <v/>
      </c>
      <c r="AD120" s="2">
        <f>IF(A120&lt;&gt;"line","",IF(O120="UNMAPPED","no mapping rule",IF(P120="L","low confidence","")))</f>
        <v/>
      </c>
      <c r="AE120" s="2">
        <f>IF(AD120&lt;&gt;"",MAX($AE$1:AE119)+1,"")</f>
        <v/>
      </c>
      <c r="AF120" s="2">
        <f>IF(A120="coverage",MAX($AF$1:AF119)+1,"")</f>
        <v/>
      </c>
      <c r="AG120" s="2">
        <f>IF(A120="line",IF(COUNTIFS($B$1:B119,B120,$C$1:C119,C120,$A$1:A119,"line")=0,MAX($AG$1:AG119)+1,""),"")</f>
        <v/>
      </c>
    </row>
    <row r="121">
      <c r="W121" s="2">
        <f>IF(A121="line",IF(D121="quote",E121,G121)&amp;"|"&amp;LOWER(TRIM(K121)),"")</f>
        <v/>
      </c>
      <c r="X121" s="2">
        <f>IF(OR(O121="LABOUR",O121="INSTALL"),"LABOUR_ALL",IF(O121="","",O121))</f>
        <v/>
      </c>
      <c r="Y121" s="9">
        <f>IF(AND(A121="line",D121="quote"),SUMIFS($N$2:$N$500,$W$2:$W$500,W121,$D$2:$D$500,"invoice",$A$2:$A$500,"line"),"")</f>
        <v/>
      </c>
      <c r="Z121" s="2">
        <f>IF(AND(A121="line",D121="quote"),COUNTIFS($W$2:$W$500,W121,$D$2:$D$500,"invoice",$A$2:$A$500,"line"),"")</f>
        <v/>
      </c>
      <c r="AA121" s="2">
        <f>IF(AND(A121="line",D121="invoice"),COUNTIFS($W$2:$W$500,W121,$D$2:$D$500,"quote",$A$2:$A$500,"line"),"")</f>
        <v/>
      </c>
      <c r="AB121" s="2">
        <f>IF(A121&lt;&gt;"line","",IF(D121="quote",IF(Z121=0,"quote only",IF(ABS(Y121-N121)&gt;Settings!$B$2,"amount differs","match")),IF(AA121=0,"invoice only","match")))</f>
        <v/>
      </c>
      <c r="AC121" s="2">
        <f>IF(AND(A121="line",AB121&lt;&gt;"match",COUNTIFS($A$2:$A$500,"coverage",$B$2:$B$500,B121,$C$2:$C$500,C121,$D$2:$D$500,"invoice")&gt;0),MAX($AC$1:AC120)+1,"")</f>
        <v/>
      </c>
      <c r="AD121" s="2">
        <f>IF(A121&lt;&gt;"line","",IF(O121="UNMAPPED","no mapping rule",IF(P121="L","low confidence","")))</f>
        <v/>
      </c>
      <c r="AE121" s="2">
        <f>IF(AD121&lt;&gt;"",MAX($AE$1:AE120)+1,"")</f>
        <v/>
      </c>
      <c r="AF121" s="2">
        <f>IF(A121="coverage",MAX($AF$1:AF120)+1,"")</f>
        <v/>
      </c>
      <c r="AG121" s="2">
        <f>IF(A121="line",IF(COUNTIFS($B$1:B120,B121,$C$1:C120,C121,$A$1:A120,"line")=0,MAX($AG$1:AG120)+1,""),"")</f>
        <v/>
      </c>
    </row>
    <row r="122">
      <c r="W122" s="2">
        <f>IF(A122="line",IF(D122="quote",E122,G122)&amp;"|"&amp;LOWER(TRIM(K122)),"")</f>
        <v/>
      </c>
      <c r="X122" s="2">
        <f>IF(OR(O122="LABOUR",O122="INSTALL"),"LABOUR_ALL",IF(O122="","",O122))</f>
        <v/>
      </c>
      <c r="Y122" s="9">
        <f>IF(AND(A122="line",D122="quote"),SUMIFS($N$2:$N$500,$W$2:$W$500,W122,$D$2:$D$500,"invoice",$A$2:$A$500,"line"),"")</f>
        <v/>
      </c>
      <c r="Z122" s="2">
        <f>IF(AND(A122="line",D122="quote"),COUNTIFS($W$2:$W$500,W122,$D$2:$D$500,"invoice",$A$2:$A$500,"line"),"")</f>
        <v/>
      </c>
      <c r="AA122" s="2">
        <f>IF(AND(A122="line",D122="invoice"),COUNTIFS($W$2:$W$500,W122,$D$2:$D$500,"quote",$A$2:$A$500,"line"),"")</f>
        <v/>
      </c>
      <c r="AB122" s="2">
        <f>IF(A122&lt;&gt;"line","",IF(D122="quote",IF(Z122=0,"quote only",IF(ABS(Y122-N122)&gt;Settings!$B$2,"amount differs","match")),IF(AA122=0,"invoice only","match")))</f>
        <v/>
      </c>
      <c r="AC122" s="2">
        <f>IF(AND(A122="line",AB122&lt;&gt;"match",COUNTIFS($A$2:$A$500,"coverage",$B$2:$B$500,B122,$C$2:$C$500,C122,$D$2:$D$500,"invoice")&gt;0),MAX($AC$1:AC121)+1,"")</f>
        <v/>
      </c>
      <c r="AD122" s="2">
        <f>IF(A122&lt;&gt;"line","",IF(O122="UNMAPPED","no mapping rule",IF(P122="L","low confidence","")))</f>
        <v/>
      </c>
      <c r="AE122" s="2">
        <f>IF(AD122&lt;&gt;"",MAX($AE$1:AE121)+1,"")</f>
        <v/>
      </c>
      <c r="AF122" s="2">
        <f>IF(A122="coverage",MAX($AF$1:AF121)+1,"")</f>
        <v/>
      </c>
      <c r="AG122" s="2">
        <f>IF(A122="line",IF(COUNTIFS($B$1:B121,B122,$C$1:C121,C122,$A$1:A121,"line")=0,MAX($AG$1:AG121)+1,""),"")</f>
        <v/>
      </c>
    </row>
    <row r="123">
      <c r="W123" s="2">
        <f>IF(A123="line",IF(D123="quote",E123,G123)&amp;"|"&amp;LOWER(TRIM(K123)),"")</f>
        <v/>
      </c>
      <c r="X123" s="2">
        <f>IF(OR(O123="LABOUR",O123="INSTALL"),"LABOUR_ALL",IF(O123="","",O123))</f>
        <v/>
      </c>
      <c r="Y123" s="9">
        <f>IF(AND(A123="line",D123="quote"),SUMIFS($N$2:$N$500,$W$2:$W$500,W123,$D$2:$D$500,"invoice",$A$2:$A$500,"line"),"")</f>
        <v/>
      </c>
      <c r="Z123" s="2">
        <f>IF(AND(A123="line",D123="quote"),COUNTIFS($W$2:$W$500,W123,$D$2:$D$500,"invoice",$A$2:$A$500,"line"),"")</f>
        <v/>
      </c>
      <c r="AA123" s="2">
        <f>IF(AND(A123="line",D123="invoice"),COUNTIFS($W$2:$W$500,W123,$D$2:$D$500,"quote",$A$2:$A$500,"line"),"")</f>
        <v/>
      </c>
      <c r="AB123" s="2">
        <f>IF(A123&lt;&gt;"line","",IF(D123="quote",IF(Z123=0,"quote only",IF(ABS(Y123-N123)&gt;Settings!$B$2,"amount differs","match")),IF(AA123=0,"invoice only","match")))</f>
        <v/>
      </c>
      <c r="AC123" s="2">
        <f>IF(AND(A123="line",AB123&lt;&gt;"match",COUNTIFS($A$2:$A$500,"coverage",$B$2:$B$500,B123,$C$2:$C$500,C123,$D$2:$D$500,"invoice")&gt;0),MAX($AC$1:AC122)+1,"")</f>
        <v/>
      </c>
      <c r="AD123" s="2">
        <f>IF(A123&lt;&gt;"line","",IF(O123="UNMAPPED","no mapping rule",IF(P123="L","low confidence","")))</f>
        <v/>
      </c>
      <c r="AE123" s="2">
        <f>IF(AD123&lt;&gt;"",MAX($AE$1:AE122)+1,"")</f>
        <v/>
      </c>
      <c r="AF123" s="2">
        <f>IF(A123="coverage",MAX($AF$1:AF122)+1,"")</f>
        <v/>
      </c>
      <c r="AG123" s="2">
        <f>IF(A123="line",IF(COUNTIFS($B$1:B122,B123,$C$1:C122,C123,$A$1:A122,"line")=0,MAX($AG$1:AG122)+1,""),"")</f>
        <v/>
      </c>
    </row>
    <row r="124">
      <c r="W124" s="2">
        <f>IF(A124="line",IF(D124="quote",E124,G124)&amp;"|"&amp;LOWER(TRIM(K124)),"")</f>
        <v/>
      </c>
      <c r="X124" s="2">
        <f>IF(OR(O124="LABOUR",O124="INSTALL"),"LABOUR_ALL",IF(O124="","",O124))</f>
        <v/>
      </c>
      <c r="Y124" s="9">
        <f>IF(AND(A124="line",D124="quote"),SUMIFS($N$2:$N$500,$W$2:$W$500,W124,$D$2:$D$500,"invoice",$A$2:$A$500,"line"),"")</f>
        <v/>
      </c>
      <c r="Z124" s="2">
        <f>IF(AND(A124="line",D124="quote"),COUNTIFS($W$2:$W$500,W124,$D$2:$D$500,"invoice",$A$2:$A$500,"line"),"")</f>
        <v/>
      </c>
      <c r="AA124" s="2">
        <f>IF(AND(A124="line",D124="invoice"),COUNTIFS($W$2:$W$500,W124,$D$2:$D$500,"quote",$A$2:$A$500,"line"),"")</f>
        <v/>
      </c>
      <c r="AB124" s="2">
        <f>IF(A124&lt;&gt;"line","",IF(D124="quote",IF(Z124=0,"quote only",IF(ABS(Y124-N124)&gt;Settings!$B$2,"amount differs","match")),IF(AA124=0,"invoice only","match")))</f>
        <v/>
      </c>
      <c r="AC124" s="2">
        <f>IF(AND(A124="line",AB124&lt;&gt;"match",COUNTIFS($A$2:$A$500,"coverage",$B$2:$B$500,B124,$C$2:$C$500,C124,$D$2:$D$500,"invoice")&gt;0),MAX($AC$1:AC123)+1,"")</f>
        <v/>
      </c>
      <c r="AD124" s="2">
        <f>IF(A124&lt;&gt;"line","",IF(O124="UNMAPPED","no mapping rule",IF(P124="L","low confidence","")))</f>
        <v/>
      </c>
      <c r="AE124" s="2">
        <f>IF(AD124&lt;&gt;"",MAX($AE$1:AE123)+1,"")</f>
        <v/>
      </c>
      <c r="AF124" s="2">
        <f>IF(A124="coverage",MAX($AF$1:AF123)+1,"")</f>
        <v/>
      </c>
      <c r="AG124" s="2">
        <f>IF(A124="line",IF(COUNTIFS($B$1:B123,B124,$C$1:C123,C124,$A$1:A123,"line")=0,MAX($AG$1:AG123)+1,""),"")</f>
        <v/>
      </c>
    </row>
    <row r="125">
      <c r="W125" s="2">
        <f>IF(A125="line",IF(D125="quote",E125,G125)&amp;"|"&amp;LOWER(TRIM(K125)),"")</f>
        <v/>
      </c>
      <c r="X125" s="2">
        <f>IF(OR(O125="LABOUR",O125="INSTALL"),"LABOUR_ALL",IF(O125="","",O125))</f>
        <v/>
      </c>
      <c r="Y125" s="9">
        <f>IF(AND(A125="line",D125="quote"),SUMIFS($N$2:$N$500,$W$2:$W$500,W125,$D$2:$D$500,"invoice",$A$2:$A$500,"line"),"")</f>
        <v/>
      </c>
      <c r="Z125" s="2">
        <f>IF(AND(A125="line",D125="quote"),COUNTIFS($W$2:$W$500,W125,$D$2:$D$500,"invoice",$A$2:$A$500,"line"),"")</f>
        <v/>
      </c>
      <c r="AA125" s="2">
        <f>IF(AND(A125="line",D125="invoice"),COUNTIFS($W$2:$W$500,W125,$D$2:$D$500,"quote",$A$2:$A$500,"line"),"")</f>
        <v/>
      </c>
      <c r="AB125" s="2">
        <f>IF(A125&lt;&gt;"line","",IF(D125="quote",IF(Z125=0,"quote only",IF(ABS(Y125-N125)&gt;Settings!$B$2,"amount differs","match")),IF(AA125=0,"invoice only","match")))</f>
        <v/>
      </c>
      <c r="AC125" s="2">
        <f>IF(AND(A125="line",AB125&lt;&gt;"match",COUNTIFS($A$2:$A$500,"coverage",$B$2:$B$500,B125,$C$2:$C$500,C125,$D$2:$D$500,"invoice")&gt;0),MAX($AC$1:AC124)+1,"")</f>
        <v/>
      </c>
      <c r="AD125" s="2">
        <f>IF(A125&lt;&gt;"line","",IF(O125="UNMAPPED","no mapping rule",IF(P125="L","low confidence","")))</f>
        <v/>
      </c>
      <c r="AE125" s="2">
        <f>IF(AD125&lt;&gt;"",MAX($AE$1:AE124)+1,"")</f>
        <v/>
      </c>
      <c r="AF125" s="2">
        <f>IF(A125="coverage",MAX($AF$1:AF124)+1,"")</f>
        <v/>
      </c>
      <c r="AG125" s="2">
        <f>IF(A125="line",IF(COUNTIFS($B$1:B124,B125,$C$1:C124,C125,$A$1:A124,"line")=0,MAX($AG$1:AG124)+1,""),"")</f>
        <v/>
      </c>
    </row>
    <row r="126">
      <c r="W126" s="2">
        <f>IF(A126="line",IF(D126="quote",E126,G126)&amp;"|"&amp;LOWER(TRIM(K126)),"")</f>
        <v/>
      </c>
      <c r="X126" s="2">
        <f>IF(OR(O126="LABOUR",O126="INSTALL"),"LABOUR_ALL",IF(O126="","",O126))</f>
        <v/>
      </c>
      <c r="Y126" s="9">
        <f>IF(AND(A126="line",D126="quote"),SUMIFS($N$2:$N$500,$W$2:$W$500,W126,$D$2:$D$500,"invoice",$A$2:$A$500,"line"),"")</f>
        <v/>
      </c>
      <c r="Z126" s="2">
        <f>IF(AND(A126="line",D126="quote"),COUNTIFS($W$2:$W$500,W126,$D$2:$D$500,"invoice",$A$2:$A$500,"line"),"")</f>
        <v/>
      </c>
      <c r="AA126" s="2">
        <f>IF(AND(A126="line",D126="invoice"),COUNTIFS($W$2:$W$500,W126,$D$2:$D$500,"quote",$A$2:$A$500,"line"),"")</f>
        <v/>
      </c>
      <c r="AB126" s="2">
        <f>IF(A126&lt;&gt;"line","",IF(D126="quote",IF(Z126=0,"quote only",IF(ABS(Y126-N126)&gt;Settings!$B$2,"amount differs","match")),IF(AA126=0,"invoice only","match")))</f>
        <v/>
      </c>
      <c r="AC126" s="2">
        <f>IF(AND(A126="line",AB126&lt;&gt;"match",COUNTIFS($A$2:$A$500,"coverage",$B$2:$B$500,B126,$C$2:$C$500,C126,$D$2:$D$500,"invoice")&gt;0),MAX($AC$1:AC125)+1,"")</f>
        <v/>
      </c>
      <c r="AD126" s="2">
        <f>IF(A126&lt;&gt;"line","",IF(O126="UNMAPPED","no mapping rule",IF(P126="L","low confidence","")))</f>
        <v/>
      </c>
      <c r="AE126" s="2">
        <f>IF(AD126&lt;&gt;"",MAX($AE$1:AE125)+1,"")</f>
        <v/>
      </c>
      <c r="AF126" s="2">
        <f>IF(A126="coverage",MAX($AF$1:AF125)+1,"")</f>
        <v/>
      </c>
      <c r="AG126" s="2">
        <f>IF(A126="line",IF(COUNTIFS($B$1:B125,B126,$C$1:C125,C126,$A$1:A125,"line")=0,MAX($AG$1:AG125)+1,""),"")</f>
        <v/>
      </c>
    </row>
    <row r="127">
      <c r="W127" s="2">
        <f>IF(A127="line",IF(D127="quote",E127,G127)&amp;"|"&amp;LOWER(TRIM(K127)),"")</f>
        <v/>
      </c>
      <c r="X127" s="2">
        <f>IF(OR(O127="LABOUR",O127="INSTALL"),"LABOUR_ALL",IF(O127="","",O127))</f>
        <v/>
      </c>
      <c r="Y127" s="9">
        <f>IF(AND(A127="line",D127="quote"),SUMIFS($N$2:$N$500,$W$2:$W$500,W127,$D$2:$D$500,"invoice",$A$2:$A$500,"line"),"")</f>
        <v/>
      </c>
      <c r="Z127" s="2">
        <f>IF(AND(A127="line",D127="quote"),COUNTIFS($W$2:$W$500,W127,$D$2:$D$500,"invoice",$A$2:$A$500,"line"),"")</f>
        <v/>
      </c>
      <c r="AA127" s="2">
        <f>IF(AND(A127="line",D127="invoice"),COUNTIFS($W$2:$W$500,W127,$D$2:$D$500,"quote",$A$2:$A$500,"line"),"")</f>
        <v/>
      </c>
      <c r="AB127" s="2">
        <f>IF(A127&lt;&gt;"line","",IF(D127="quote",IF(Z127=0,"quote only",IF(ABS(Y127-N127)&gt;Settings!$B$2,"amount differs","match")),IF(AA127=0,"invoice only","match")))</f>
        <v/>
      </c>
      <c r="AC127" s="2">
        <f>IF(AND(A127="line",AB127&lt;&gt;"match",COUNTIFS($A$2:$A$500,"coverage",$B$2:$B$500,B127,$C$2:$C$500,C127,$D$2:$D$500,"invoice")&gt;0),MAX($AC$1:AC126)+1,"")</f>
        <v/>
      </c>
      <c r="AD127" s="2">
        <f>IF(A127&lt;&gt;"line","",IF(O127="UNMAPPED","no mapping rule",IF(P127="L","low confidence","")))</f>
        <v/>
      </c>
      <c r="AE127" s="2">
        <f>IF(AD127&lt;&gt;"",MAX($AE$1:AE126)+1,"")</f>
        <v/>
      </c>
      <c r="AF127" s="2">
        <f>IF(A127="coverage",MAX($AF$1:AF126)+1,"")</f>
        <v/>
      </c>
      <c r="AG127" s="2">
        <f>IF(A127="line",IF(COUNTIFS($B$1:B126,B127,$C$1:C126,C127,$A$1:A126,"line")=0,MAX($AG$1:AG126)+1,""),"")</f>
        <v/>
      </c>
    </row>
    <row r="128">
      <c r="W128" s="2">
        <f>IF(A128="line",IF(D128="quote",E128,G128)&amp;"|"&amp;LOWER(TRIM(K128)),"")</f>
        <v/>
      </c>
      <c r="X128" s="2">
        <f>IF(OR(O128="LABOUR",O128="INSTALL"),"LABOUR_ALL",IF(O128="","",O128))</f>
        <v/>
      </c>
      <c r="Y128" s="9">
        <f>IF(AND(A128="line",D128="quote"),SUMIFS($N$2:$N$500,$W$2:$W$500,W128,$D$2:$D$500,"invoice",$A$2:$A$500,"line"),"")</f>
        <v/>
      </c>
      <c r="Z128" s="2">
        <f>IF(AND(A128="line",D128="quote"),COUNTIFS($W$2:$W$500,W128,$D$2:$D$500,"invoice",$A$2:$A$500,"line"),"")</f>
        <v/>
      </c>
      <c r="AA128" s="2">
        <f>IF(AND(A128="line",D128="invoice"),COUNTIFS($W$2:$W$500,W128,$D$2:$D$500,"quote",$A$2:$A$500,"line"),"")</f>
        <v/>
      </c>
      <c r="AB128" s="2">
        <f>IF(A128&lt;&gt;"line","",IF(D128="quote",IF(Z128=0,"quote only",IF(ABS(Y128-N128)&gt;Settings!$B$2,"amount differs","match")),IF(AA128=0,"invoice only","match")))</f>
        <v/>
      </c>
      <c r="AC128" s="2">
        <f>IF(AND(A128="line",AB128&lt;&gt;"match",COUNTIFS($A$2:$A$500,"coverage",$B$2:$B$500,B128,$C$2:$C$500,C128,$D$2:$D$500,"invoice")&gt;0),MAX($AC$1:AC127)+1,"")</f>
        <v/>
      </c>
      <c r="AD128" s="2">
        <f>IF(A128&lt;&gt;"line","",IF(O128="UNMAPPED","no mapping rule",IF(P128="L","low confidence","")))</f>
        <v/>
      </c>
      <c r="AE128" s="2">
        <f>IF(AD128&lt;&gt;"",MAX($AE$1:AE127)+1,"")</f>
        <v/>
      </c>
      <c r="AF128" s="2">
        <f>IF(A128="coverage",MAX($AF$1:AF127)+1,"")</f>
        <v/>
      </c>
      <c r="AG128" s="2">
        <f>IF(A128="line",IF(COUNTIFS($B$1:B127,B128,$C$1:C127,C128,$A$1:A127,"line")=0,MAX($AG$1:AG127)+1,""),"")</f>
        <v/>
      </c>
    </row>
    <row r="129">
      <c r="W129" s="2">
        <f>IF(A129="line",IF(D129="quote",E129,G129)&amp;"|"&amp;LOWER(TRIM(K129)),"")</f>
        <v/>
      </c>
      <c r="X129" s="2">
        <f>IF(OR(O129="LABOUR",O129="INSTALL"),"LABOUR_ALL",IF(O129="","",O129))</f>
        <v/>
      </c>
      <c r="Y129" s="9">
        <f>IF(AND(A129="line",D129="quote"),SUMIFS($N$2:$N$500,$W$2:$W$500,W129,$D$2:$D$500,"invoice",$A$2:$A$500,"line"),"")</f>
        <v/>
      </c>
      <c r="Z129" s="2">
        <f>IF(AND(A129="line",D129="quote"),COUNTIFS($W$2:$W$500,W129,$D$2:$D$500,"invoice",$A$2:$A$500,"line"),"")</f>
        <v/>
      </c>
      <c r="AA129" s="2">
        <f>IF(AND(A129="line",D129="invoice"),COUNTIFS($W$2:$W$500,W129,$D$2:$D$500,"quote",$A$2:$A$500,"line"),"")</f>
        <v/>
      </c>
      <c r="AB129" s="2">
        <f>IF(A129&lt;&gt;"line","",IF(D129="quote",IF(Z129=0,"quote only",IF(ABS(Y129-N129)&gt;Settings!$B$2,"amount differs","match")),IF(AA129=0,"invoice only","match")))</f>
        <v/>
      </c>
      <c r="AC129" s="2">
        <f>IF(AND(A129="line",AB129&lt;&gt;"match",COUNTIFS($A$2:$A$500,"coverage",$B$2:$B$500,B129,$C$2:$C$500,C129,$D$2:$D$500,"invoice")&gt;0),MAX($AC$1:AC128)+1,"")</f>
        <v/>
      </c>
      <c r="AD129" s="2">
        <f>IF(A129&lt;&gt;"line","",IF(O129="UNMAPPED","no mapping rule",IF(P129="L","low confidence","")))</f>
        <v/>
      </c>
      <c r="AE129" s="2">
        <f>IF(AD129&lt;&gt;"",MAX($AE$1:AE128)+1,"")</f>
        <v/>
      </c>
      <c r="AF129" s="2">
        <f>IF(A129="coverage",MAX($AF$1:AF128)+1,"")</f>
        <v/>
      </c>
      <c r="AG129" s="2">
        <f>IF(A129="line",IF(COUNTIFS($B$1:B128,B129,$C$1:C128,C129,$A$1:A128,"line")=0,MAX($AG$1:AG128)+1,""),"")</f>
        <v/>
      </c>
    </row>
    <row r="130">
      <c r="W130" s="2">
        <f>IF(A130="line",IF(D130="quote",E130,G130)&amp;"|"&amp;LOWER(TRIM(K130)),"")</f>
        <v/>
      </c>
      <c r="X130" s="2">
        <f>IF(OR(O130="LABOUR",O130="INSTALL"),"LABOUR_ALL",IF(O130="","",O130))</f>
        <v/>
      </c>
      <c r="Y130" s="9">
        <f>IF(AND(A130="line",D130="quote"),SUMIFS($N$2:$N$500,$W$2:$W$500,W130,$D$2:$D$500,"invoice",$A$2:$A$500,"line"),"")</f>
        <v/>
      </c>
      <c r="Z130" s="2">
        <f>IF(AND(A130="line",D130="quote"),COUNTIFS($W$2:$W$500,W130,$D$2:$D$500,"invoice",$A$2:$A$500,"line"),"")</f>
        <v/>
      </c>
      <c r="AA130" s="2">
        <f>IF(AND(A130="line",D130="invoice"),COUNTIFS($W$2:$W$500,W130,$D$2:$D$500,"quote",$A$2:$A$500,"line"),"")</f>
        <v/>
      </c>
      <c r="AB130" s="2">
        <f>IF(A130&lt;&gt;"line","",IF(D130="quote",IF(Z130=0,"quote only",IF(ABS(Y130-N130)&gt;Settings!$B$2,"amount differs","match")),IF(AA130=0,"invoice only","match")))</f>
        <v/>
      </c>
      <c r="AC130" s="2">
        <f>IF(AND(A130="line",AB130&lt;&gt;"match",COUNTIFS($A$2:$A$500,"coverage",$B$2:$B$500,B130,$C$2:$C$500,C130,$D$2:$D$500,"invoice")&gt;0),MAX($AC$1:AC129)+1,"")</f>
        <v/>
      </c>
      <c r="AD130" s="2">
        <f>IF(A130&lt;&gt;"line","",IF(O130="UNMAPPED","no mapping rule",IF(P130="L","low confidence","")))</f>
        <v/>
      </c>
      <c r="AE130" s="2">
        <f>IF(AD130&lt;&gt;"",MAX($AE$1:AE129)+1,"")</f>
        <v/>
      </c>
      <c r="AF130" s="2">
        <f>IF(A130="coverage",MAX($AF$1:AF129)+1,"")</f>
        <v/>
      </c>
      <c r="AG130" s="2">
        <f>IF(A130="line",IF(COUNTIFS($B$1:B129,B130,$C$1:C129,C130,$A$1:A129,"line")=0,MAX($AG$1:AG129)+1,""),"")</f>
        <v/>
      </c>
    </row>
    <row r="131">
      <c r="W131" s="2">
        <f>IF(A131="line",IF(D131="quote",E131,G131)&amp;"|"&amp;LOWER(TRIM(K131)),"")</f>
        <v/>
      </c>
      <c r="X131" s="2">
        <f>IF(OR(O131="LABOUR",O131="INSTALL"),"LABOUR_ALL",IF(O131="","",O131))</f>
        <v/>
      </c>
      <c r="Y131" s="9">
        <f>IF(AND(A131="line",D131="quote"),SUMIFS($N$2:$N$500,$W$2:$W$500,W131,$D$2:$D$500,"invoice",$A$2:$A$500,"line"),"")</f>
        <v/>
      </c>
      <c r="Z131" s="2">
        <f>IF(AND(A131="line",D131="quote"),COUNTIFS($W$2:$W$500,W131,$D$2:$D$500,"invoice",$A$2:$A$500,"line"),"")</f>
        <v/>
      </c>
      <c r="AA131" s="2">
        <f>IF(AND(A131="line",D131="invoice"),COUNTIFS($W$2:$W$500,W131,$D$2:$D$500,"quote",$A$2:$A$500,"line"),"")</f>
        <v/>
      </c>
      <c r="AB131" s="2">
        <f>IF(A131&lt;&gt;"line","",IF(D131="quote",IF(Z131=0,"quote only",IF(ABS(Y131-N131)&gt;Settings!$B$2,"amount differs","match")),IF(AA131=0,"invoice only","match")))</f>
        <v/>
      </c>
      <c r="AC131" s="2">
        <f>IF(AND(A131="line",AB131&lt;&gt;"match",COUNTIFS($A$2:$A$500,"coverage",$B$2:$B$500,B131,$C$2:$C$500,C131,$D$2:$D$500,"invoice")&gt;0),MAX($AC$1:AC130)+1,"")</f>
        <v/>
      </c>
      <c r="AD131" s="2">
        <f>IF(A131&lt;&gt;"line","",IF(O131="UNMAPPED","no mapping rule",IF(P131="L","low confidence","")))</f>
        <v/>
      </c>
      <c r="AE131" s="2">
        <f>IF(AD131&lt;&gt;"",MAX($AE$1:AE130)+1,"")</f>
        <v/>
      </c>
      <c r="AF131" s="2">
        <f>IF(A131="coverage",MAX($AF$1:AF130)+1,"")</f>
        <v/>
      </c>
      <c r="AG131" s="2">
        <f>IF(A131="line",IF(COUNTIFS($B$1:B130,B131,$C$1:C130,C131,$A$1:A130,"line")=0,MAX($AG$1:AG130)+1,""),"")</f>
        <v/>
      </c>
    </row>
    <row r="132">
      <c r="W132" s="2">
        <f>IF(A132="line",IF(D132="quote",E132,G132)&amp;"|"&amp;LOWER(TRIM(K132)),"")</f>
        <v/>
      </c>
      <c r="X132" s="2">
        <f>IF(OR(O132="LABOUR",O132="INSTALL"),"LABOUR_ALL",IF(O132="","",O132))</f>
        <v/>
      </c>
      <c r="Y132" s="9">
        <f>IF(AND(A132="line",D132="quote"),SUMIFS($N$2:$N$500,$W$2:$W$500,W132,$D$2:$D$500,"invoice",$A$2:$A$500,"line"),"")</f>
        <v/>
      </c>
      <c r="Z132" s="2">
        <f>IF(AND(A132="line",D132="quote"),COUNTIFS($W$2:$W$500,W132,$D$2:$D$500,"invoice",$A$2:$A$500,"line"),"")</f>
        <v/>
      </c>
      <c r="AA132" s="2">
        <f>IF(AND(A132="line",D132="invoice"),COUNTIFS($W$2:$W$500,W132,$D$2:$D$500,"quote",$A$2:$A$500,"line"),"")</f>
        <v/>
      </c>
      <c r="AB132" s="2">
        <f>IF(A132&lt;&gt;"line","",IF(D132="quote",IF(Z132=0,"quote only",IF(ABS(Y132-N132)&gt;Settings!$B$2,"amount differs","match")),IF(AA132=0,"invoice only","match")))</f>
        <v/>
      </c>
      <c r="AC132" s="2">
        <f>IF(AND(A132="line",AB132&lt;&gt;"match",COUNTIFS($A$2:$A$500,"coverage",$B$2:$B$500,B132,$C$2:$C$500,C132,$D$2:$D$500,"invoice")&gt;0),MAX($AC$1:AC131)+1,"")</f>
        <v/>
      </c>
      <c r="AD132" s="2">
        <f>IF(A132&lt;&gt;"line","",IF(O132="UNMAPPED","no mapping rule",IF(P132="L","low confidence","")))</f>
        <v/>
      </c>
      <c r="AE132" s="2">
        <f>IF(AD132&lt;&gt;"",MAX($AE$1:AE131)+1,"")</f>
        <v/>
      </c>
      <c r="AF132" s="2">
        <f>IF(A132="coverage",MAX($AF$1:AF131)+1,"")</f>
        <v/>
      </c>
      <c r="AG132" s="2">
        <f>IF(A132="line",IF(COUNTIFS($B$1:B131,B132,$C$1:C131,C132,$A$1:A131,"line")=0,MAX($AG$1:AG131)+1,""),"")</f>
        <v/>
      </c>
    </row>
    <row r="133">
      <c r="W133" s="2">
        <f>IF(A133="line",IF(D133="quote",E133,G133)&amp;"|"&amp;LOWER(TRIM(K133)),"")</f>
        <v/>
      </c>
      <c r="X133" s="2">
        <f>IF(OR(O133="LABOUR",O133="INSTALL"),"LABOUR_ALL",IF(O133="","",O133))</f>
        <v/>
      </c>
      <c r="Y133" s="9">
        <f>IF(AND(A133="line",D133="quote"),SUMIFS($N$2:$N$500,$W$2:$W$500,W133,$D$2:$D$500,"invoice",$A$2:$A$500,"line"),"")</f>
        <v/>
      </c>
      <c r="Z133" s="2">
        <f>IF(AND(A133="line",D133="quote"),COUNTIFS($W$2:$W$500,W133,$D$2:$D$500,"invoice",$A$2:$A$500,"line"),"")</f>
        <v/>
      </c>
      <c r="AA133" s="2">
        <f>IF(AND(A133="line",D133="invoice"),COUNTIFS($W$2:$W$500,W133,$D$2:$D$500,"quote",$A$2:$A$500,"line"),"")</f>
        <v/>
      </c>
      <c r="AB133" s="2">
        <f>IF(A133&lt;&gt;"line","",IF(D133="quote",IF(Z133=0,"quote only",IF(ABS(Y133-N133)&gt;Settings!$B$2,"amount differs","match")),IF(AA133=0,"invoice only","match")))</f>
        <v/>
      </c>
      <c r="AC133" s="2">
        <f>IF(AND(A133="line",AB133&lt;&gt;"match",COUNTIFS($A$2:$A$500,"coverage",$B$2:$B$500,B133,$C$2:$C$500,C133,$D$2:$D$500,"invoice")&gt;0),MAX($AC$1:AC132)+1,"")</f>
        <v/>
      </c>
      <c r="AD133" s="2">
        <f>IF(A133&lt;&gt;"line","",IF(O133="UNMAPPED","no mapping rule",IF(P133="L","low confidence","")))</f>
        <v/>
      </c>
      <c r="AE133" s="2">
        <f>IF(AD133&lt;&gt;"",MAX($AE$1:AE132)+1,"")</f>
        <v/>
      </c>
      <c r="AF133" s="2">
        <f>IF(A133="coverage",MAX($AF$1:AF132)+1,"")</f>
        <v/>
      </c>
      <c r="AG133" s="2">
        <f>IF(A133="line",IF(COUNTIFS($B$1:B132,B133,$C$1:C132,C133,$A$1:A132,"line")=0,MAX($AG$1:AG132)+1,""),"")</f>
        <v/>
      </c>
    </row>
    <row r="134">
      <c r="W134" s="2">
        <f>IF(A134="line",IF(D134="quote",E134,G134)&amp;"|"&amp;LOWER(TRIM(K134)),"")</f>
        <v/>
      </c>
      <c r="X134" s="2">
        <f>IF(OR(O134="LABOUR",O134="INSTALL"),"LABOUR_ALL",IF(O134="","",O134))</f>
        <v/>
      </c>
      <c r="Y134" s="9">
        <f>IF(AND(A134="line",D134="quote"),SUMIFS($N$2:$N$500,$W$2:$W$500,W134,$D$2:$D$500,"invoice",$A$2:$A$500,"line"),"")</f>
        <v/>
      </c>
      <c r="Z134" s="2">
        <f>IF(AND(A134="line",D134="quote"),COUNTIFS($W$2:$W$500,W134,$D$2:$D$500,"invoice",$A$2:$A$500,"line"),"")</f>
        <v/>
      </c>
      <c r="AA134" s="2">
        <f>IF(AND(A134="line",D134="invoice"),COUNTIFS($W$2:$W$500,W134,$D$2:$D$500,"quote",$A$2:$A$500,"line"),"")</f>
        <v/>
      </c>
      <c r="AB134" s="2">
        <f>IF(A134&lt;&gt;"line","",IF(D134="quote",IF(Z134=0,"quote only",IF(ABS(Y134-N134)&gt;Settings!$B$2,"amount differs","match")),IF(AA134=0,"invoice only","match")))</f>
        <v/>
      </c>
      <c r="AC134" s="2">
        <f>IF(AND(A134="line",AB134&lt;&gt;"match",COUNTIFS($A$2:$A$500,"coverage",$B$2:$B$500,B134,$C$2:$C$500,C134,$D$2:$D$500,"invoice")&gt;0),MAX($AC$1:AC133)+1,"")</f>
        <v/>
      </c>
      <c r="AD134" s="2">
        <f>IF(A134&lt;&gt;"line","",IF(O134="UNMAPPED","no mapping rule",IF(P134="L","low confidence","")))</f>
        <v/>
      </c>
      <c r="AE134" s="2">
        <f>IF(AD134&lt;&gt;"",MAX($AE$1:AE133)+1,"")</f>
        <v/>
      </c>
      <c r="AF134" s="2">
        <f>IF(A134="coverage",MAX($AF$1:AF133)+1,"")</f>
        <v/>
      </c>
      <c r="AG134" s="2">
        <f>IF(A134="line",IF(COUNTIFS($B$1:B133,B134,$C$1:C133,C134,$A$1:A133,"line")=0,MAX($AG$1:AG133)+1,""),"")</f>
        <v/>
      </c>
    </row>
    <row r="135">
      <c r="W135" s="2">
        <f>IF(A135="line",IF(D135="quote",E135,G135)&amp;"|"&amp;LOWER(TRIM(K135)),"")</f>
        <v/>
      </c>
      <c r="X135" s="2">
        <f>IF(OR(O135="LABOUR",O135="INSTALL"),"LABOUR_ALL",IF(O135="","",O135))</f>
        <v/>
      </c>
      <c r="Y135" s="9">
        <f>IF(AND(A135="line",D135="quote"),SUMIFS($N$2:$N$500,$W$2:$W$500,W135,$D$2:$D$500,"invoice",$A$2:$A$500,"line"),"")</f>
        <v/>
      </c>
      <c r="Z135" s="2">
        <f>IF(AND(A135="line",D135="quote"),COUNTIFS($W$2:$W$500,W135,$D$2:$D$500,"invoice",$A$2:$A$500,"line"),"")</f>
        <v/>
      </c>
      <c r="AA135" s="2">
        <f>IF(AND(A135="line",D135="invoice"),COUNTIFS($W$2:$W$500,W135,$D$2:$D$500,"quote",$A$2:$A$500,"line"),"")</f>
        <v/>
      </c>
      <c r="AB135" s="2">
        <f>IF(A135&lt;&gt;"line","",IF(D135="quote",IF(Z135=0,"quote only",IF(ABS(Y135-N135)&gt;Settings!$B$2,"amount differs","match")),IF(AA135=0,"invoice only","match")))</f>
        <v/>
      </c>
      <c r="AC135" s="2">
        <f>IF(AND(A135="line",AB135&lt;&gt;"match",COUNTIFS($A$2:$A$500,"coverage",$B$2:$B$500,B135,$C$2:$C$500,C135,$D$2:$D$500,"invoice")&gt;0),MAX($AC$1:AC134)+1,"")</f>
        <v/>
      </c>
      <c r="AD135" s="2">
        <f>IF(A135&lt;&gt;"line","",IF(O135="UNMAPPED","no mapping rule",IF(P135="L","low confidence","")))</f>
        <v/>
      </c>
      <c r="AE135" s="2">
        <f>IF(AD135&lt;&gt;"",MAX($AE$1:AE134)+1,"")</f>
        <v/>
      </c>
      <c r="AF135" s="2">
        <f>IF(A135="coverage",MAX($AF$1:AF134)+1,"")</f>
        <v/>
      </c>
      <c r="AG135" s="2">
        <f>IF(A135="line",IF(COUNTIFS($B$1:B134,B135,$C$1:C134,C135,$A$1:A134,"line")=0,MAX($AG$1:AG134)+1,""),"")</f>
        <v/>
      </c>
    </row>
    <row r="136">
      <c r="W136" s="2">
        <f>IF(A136="line",IF(D136="quote",E136,G136)&amp;"|"&amp;LOWER(TRIM(K136)),"")</f>
        <v/>
      </c>
      <c r="X136" s="2">
        <f>IF(OR(O136="LABOUR",O136="INSTALL"),"LABOUR_ALL",IF(O136="","",O136))</f>
        <v/>
      </c>
      <c r="Y136" s="9">
        <f>IF(AND(A136="line",D136="quote"),SUMIFS($N$2:$N$500,$W$2:$W$500,W136,$D$2:$D$500,"invoice",$A$2:$A$500,"line"),"")</f>
        <v/>
      </c>
      <c r="Z136" s="2">
        <f>IF(AND(A136="line",D136="quote"),COUNTIFS($W$2:$W$500,W136,$D$2:$D$500,"invoice",$A$2:$A$500,"line"),"")</f>
        <v/>
      </c>
      <c r="AA136" s="2">
        <f>IF(AND(A136="line",D136="invoice"),COUNTIFS($W$2:$W$500,W136,$D$2:$D$500,"quote",$A$2:$A$500,"line"),"")</f>
        <v/>
      </c>
      <c r="AB136" s="2">
        <f>IF(A136&lt;&gt;"line","",IF(D136="quote",IF(Z136=0,"quote only",IF(ABS(Y136-N136)&gt;Settings!$B$2,"amount differs","match")),IF(AA136=0,"invoice only","match")))</f>
        <v/>
      </c>
      <c r="AC136" s="2">
        <f>IF(AND(A136="line",AB136&lt;&gt;"match",COUNTIFS($A$2:$A$500,"coverage",$B$2:$B$500,B136,$C$2:$C$500,C136,$D$2:$D$500,"invoice")&gt;0),MAX($AC$1:AC135)+1,"")</f>
        <v/>
      </c>
      <c r="AD136" s="2">
        <f>IF(A136&lt;&gt;"line","",IF(O136="UNMAPPED","no mapping rule",IF(P136="L","low confidence","")))</f>
        <v/>
      </c>
      <c r="AE136" s="2">
        <f>IF(AD136&lt;&gt;"",MAX($AE$1:AE135)+1,"")</f>
        <v/>
      </c>
      <c r="AF136" s="2">
        <f>IF(A136="coverage",MAX($AF$1:AF135)+1,"")</f>
        <v/>
      </c>
      <c r="AG136" s="2">
        <f>IF(A136="line",IF(COUNTIFS($B$1:B135,B136,$C$1:C135,C136,$A$1:A135,"line")=0,MAX($AG$1:AG135)+1,""),"")</f>
        <v/>
      </c>
    </row>
    <row r="137">
      <c r="W137" s="2">
        <f>IF(A137="line",IF(D137="quote",E137,G137)&amp;"|"&amp;LOWER(TRIM(K137)),"")</f>
        <v/>
      </c>
      <c r="X137" s="2">
        <f>IF(OR(O137="LABOUR",O137="INSTALL"),"LABOUR_ALL",IF(O137="","",O137))</f>
        <v/>
      </c>
      <c r="Y137" s="9">
        <f>IF(AND(A137="line",D137="quote"),SUMIFS($N$2:$N$500,$W$2:$W$500,W137,$D$2:$D$500,"invoice",$A$2:$A$500,"line"),"")</f>
        <v/>
      </c>
      <c r="Z137" s="2">
        <f>IF(AND(A137="line",D137="quote"),COUNTIFS($W$2:$W$500,W137,$D$2:$D$500,"invoice",$A$2:$A$500,"line"),"")</f>
        <v/>
      </c>
      <c r="AA137" s="2">
        <f>IF(AND(A137="line",D137="invoice"),COUNTIFS($W$2:$W$500,W137,$D$2:$D$500,"quote",$A$2:$A$500,"line"),"")</f>
        <v/>
      </c>
      <c r="AB137" s="2">
        <f>IF(A137&lt;&gt;"line","",IF(D137="quote",IF(Z137=0,"quote only",IF(ABS(Y137-N137)&gt;Settings!$B$2,"amount differs","match")),IF(AA137=0,"invoice only","match")))</f>
        <v/>
      </c>
      <c r="AC137" s="2">
        <f>IF(AND(A137="line",AB137&lt;&gt;"match",COUNTIFS($A$2:$A$500,"coverage",$B$2:$B$500,B137,$C$2:$C$500,C137,$D$2:$D$500,"invoice")&gt;0),MAX($AC$1:AC136)+1,"")</f>
        <v/>
      </c>
      <c r="AD137" s="2">
        <f>IF(A137&lt;&gt;"line","",IF(O137="UNMAPPED","no mapping rule",IF(P137="L","low confidence","")))</f>
        <v/>
      </c>
      <c r="AE137" s="2">
        <f>IF(AD137&lt;&gt;"",MAX($AE$1:AE136)+1,"")</f>
        <v/>
      </c>
      <c r="AF137" s="2">
        <f>IF(A137="coverage",MAX($AF$1:AF136)+1,"")</f>
        <v/>
      </c>
      <c r="AG137" s="2">
        <f>IF(A137="line",IF(COUNTIFS($B$1:B136,B137,$C$1:C136,C137,$A$1:A136,"line")=0,MAX($AG$1:AG136)+1,""),"")</f>
        <v/>
      </c>
    </row>
    <row r="138">
      <c r="W138" s="2">
        <f>IF(A138="line",IF(D138="quote",E138,G138)&amp;"|"&amp;LOWER(TRIM(K138)),"")</f>
        <v/>
      </c>
      <c r="X138" s="2">
        <f>IF(OR(O138="LABOUR",O138="INSTALL"),"LABOUR_ALL",IF(O138="","",O138))</f>
        <v/>
      </c>
      <c r="Y138" s="9">
        <f>IF(AND(A138="line",D138="quote"),SUMIFS($N$2:$N$500,$W$2:$W$500,W138,$D$2:$D$500,"invoice",$A$2:$A$500,"line"),"")</f>
        <v/>
      </c>
      <c r="Z138" s="2">
        <f>IF(AND(A138="line",D138="quote"),COUNTIFS($W$2:$W$500,W138,$D$2:$D$500,"invoice",$A$2:$A$500,"line"),"")</f>
        <v/>
      </c>
      <c r="AA138" s="2">
        <f>IF(AND(A138="line",D138="invoice"),COUNTIFS($W$2:$W$500,W138,$D$2:$D$500,"quote",$A$2:$A$500,"line"),"")</f>
        <v/>
      </c>
      <c r="AB138" s="2">
        <f>IF(A138&lt;&gt;"line","",IF(D138="quote",IF(Z138=0,"quote only",IF(ABS(Y138-N138)&gt;Settings!$B$2,"amount differs","match")),IF(AA138=0,"invoice only","match")))</f>
        <v/>
      </c>
      <c r="AC138" s="2">
        <f>IF(AND(A138="line",AB138&lt;&gt;"match",COUNTIFS($A$2:$A$500,"coverage",$B$2:$B$500,B138,$C$2:$C$500,C138,$D$2:$D$500,"invoice")&gt;0),MAX($AC$1:AC137)+1,"")</f>
        <v/>
      </c>
      <c r="AD138" s="2">
        <f>IF(A138&lt;&gt;"line","",IF(O138="UNMAPPED","no mapping rule",IF(P138="L","low confidence","")))</f>
        <v/>
      </c>
      <c r="AE138" s="2">
        <f>IF(AD138&lt;&gt;"",MAX($AE$1:AE137)+1,"")</f>
        <v/>
      </c>
      <c r="AF138" s="2">
        <f>IF(A138="coverage",MAX($AF$1:AF137)+1,"")</f>
        <v/>
      </c>
      <c r="AG138" s="2">
        <f>IF(A138="line",IF(COUNTIFS($B$1:B137,B138,$C$1:C137,C138,$A$1:A137,"line")=0,MAX($AG$1:AG137)+1,""),"")</f>
        <v/>
      </c>
    </row>
    <row r="139">
      <c r="W139" s="2">
        <f>IF(A139="line",IF(D139="quote",E139,G139)&amp;"|"&amp;LOWER(TRIM(K139)),"")</f>
        <v/>
      </c>
      <c r="X139" s="2">
        <f>IF(OR(O139="LABOUR",O139="INSTALL"),"LABOUR_ALL",IF(O139="","",O139))</f>
        <v/>
      </c>
      <c r="Y139" s="9">
        <f>IF(AND(A139="line",D139="quote"),SUMIFS($N$2:$N$500,$W$2:$W$500,W139,$D$2:$D$500,"invoice",$A$2:$A$500,"line"),"")</f>
        <v/>
      </c>
      <c r="Z139" s="2">
        <f>IF(AND(A139="line",D139="quote"),COUNTIFS($W$2:$W$500,W139,$D$2:$D$500,"invoice",$A$2:$A$500,"line"),"")</f>
        <v/>
      </c>
      <c r="AA139" s="2">
        <f>IF(AND(A139="line",D139="invoice"),COUNTIFS($W$2:$W$500,W139,$D$2:$D$500,"quote",$A$2:$A$500,"line"),"")</f>
        <v/>
      </c>
      <c r="AB139" s="2">
        <f>IF(A139&lt;&gt;"line","",IF(D139="quote",IF(Z139=0,"quote only",IF(ABS(Y139-N139)&gt;Settings!$B$2,"amount differs","match")),IF(AA139=0,"invoice only","match")))</f>
        <v/>
      </c>
      <c r="AC139" s="2">
        <f>IF(AND(A139="line",AB139&lt;&gt;"match",COUNTIFS($A$2:$A$500,"coverage",$B$2:$B$500,B139,$C$2:$C$500,C139,$D$2:$D$500,"invoice")&gt;0),MAX($AC$1:AC138)+1,"")</f>
        <v/>
      </c>
      <c r="AD139" s="2">
        <f>IF(A139&lt;&gt;"line","",IF(O139="UNMAPPED","no mapping rule",IF(P139="L","low confidence","")))</f>
        <v/>
      </c>
      <c r="AE139" s="2">
        <f>IF(AD139&lt;&gt;"",MAX($AE$1:AE138)+1,"")</f>
        <v/>
      </c>
      <c r="AF139" s="2">
        <f>IF(A139="coverage",MAX($AF$1:AF138)+1,"")</f>
        <v/>
      </c>
      <c r="AG139" s="2">
        <f>IF(A139="line",IF(COUNTIFS($B$1:B138,B139,$C$1:C138,C139,$A$1:A138,"line")=0,MAX($AG$1:AG138)+1,""),"")</f>
        <v/>
      </c>
    </row>
    <row r="140">
      <c r="W140" s="2">
        <f>IF(A140="line",IF(D140="quote",E140,G140)&amp;"|"&amp;LOWER(TRIM(K140)),"")</f>
        <v/>
      </c>
      <c r="X140" s="2">
        <f>IF(OR(O140="LABOUR",O140="INSTALL"),"LABOUR_ALL",IF(O140="","",O140))</f>
        <v/>
      </c>
      <c r="Y140" s="9">
        <f>IF(AND(A140="line",D140="quote"),SUMIFS($N$2:$N$500,$W$2:$W$500,W140,$D$2:$D$500,"invoice",$A$2:$A$500,"line"),"")</f>
        <v/>
      </c>
      <c r="Z140" s="2">
        <f>IF(AND(A140="line",D140="quote"),COUNTIFS($W$2:$W$500,W140,$D$2:$D$500,"invoice",$A$2:$A$500,"line"),"")</f>
        <v/>
      </c>
      <c r="AA140" s="2">
        <f>IF(AND(A140="line",D140="invoice"),COUNTIFS($W$2:$W$500,W140,$D$2:$D$500,"quote",$A$2:$A$500,"line"),"")</f>
        <v/>
      </c>
      <c r="AB140" s="2">
        <f>IF(A140&lt;&gt;"line","",IF(D140="quote",IF(Z140=0,"quote only",IF(ABS(Y140-N140)&gt;Settings!$B$2,"amount differs","match")),IF(AA140=0,"invoice only","match")))</f>
        <v/>
      </c>
      <c r="AC140" s="2">
        <f>IF(AND(A140="line",AB140&lt;&gt;"match",COUNTIFS($A$2:$A$500,"coverage",$B$2:$B$500,B140,$C$2:$C$500,C140,$D$2:$D$500,"invoice")&gt;0),MAX($AC$1:AC139)+1,"")</f>
        <v/>
      </c>
      <c r="AD140" s="2">
        <f>IF(A140&lt;&gt;"line","",IF(O140="UNMAPPED","no mapping rule",IF(P140="L","low confidence","")))</f>
        <v/>
      </c>
      <c r="AE140" s="2">
        <f>IF(AD140&lt;&gt;"",MAX($AE$1:AE139)+1,"")</f>
        <v/>
      </c>
      <c r="AF140" s="2">
        <f>IF(A140="coverage",MAX($AF$1:AF139)+1,"")</f>
        <v/>
      </c>
      <c r="AG140" s="2">
        <f>IF(A140="line",IF(COUNTIFS($B$1:B139,B140,$C$1:C139,C140,$A$1:A139,"line")=0,MAX($AG$1:AG139)+1,""),"")</f>
        <v/>
      </c>
    </row>
    <row r="141">
      <c r="W141" s="2">
        <f>IF(A141="line",IF(D141="quote",E141,G141)&amp;"|"&amp;LOWER(TRIM(K141)),"")</f>
        <v/>
      </c>
      <c r="X141" s="2">
        <f>IF(OR(O141="LABOUR",O141="INSTALL"),"LABOUR_ALL",IF(O141="","",O141))</f>
        <v/>
      </c>
      <c r="Y141" s="9">
        <f>IF(AND(A141="line",D141="quote"),SUMIFS($N$2:$N$500,$W$2:$W$500,W141,$D$2:$D$500,"invoice",$A$2:$A$500,"line"),"")</f>
        <v/>
      </c>
      <c r="Z141" s="2">
        <f>IF(AND(A141="line",D141="quote"),COUNTIFS($W$2:$W$500,W141,$D$2:$D$500,"invoice",$A$2:$A$500,"line"),"")</f>
        <v/>
      </c>
      <c r="AA141" s="2">
        <f>IF(AND(A141="line",D141="invoice"),COUNTIFS($W$2:$W$500,W141,$D$2:$D$500,"quote",$A$2:$A$500,"line"),"")</f>
        <v/>
      </c>
      <c r="AB141" s="2">
        <f>IF(A141&lt;&gt;"line","",IF(D141="quote",IF(Z141=0,"quote only",IF(ABS(Y141-N141)&gt;Settings!$B$2,"amount differs","match")),IF(AA141=0,"invoice only","match")))</f>
        <v/>
      </c>
      <c r="AC141" s="2">
        <f>IF(AND(A141="line",AB141&lt;&gt;"match",COUNTIFS($A$2:$A$500,"coverage",$B$2:$B$500,B141,$C$2:$C$500,C141,$D$2:$D$500,"invoice")&gt;0),MAX($AC$1:AC140)+1,"")</f>
        <v/>
      </c>
      <c r="AD141" s="2">
        <f>IF(A141&lt;&gt;"line","",IF(O141="UNMAPPED","no mapping rule",IF(P141="L","low confidence","")))</f>
        <v/>
      </c>
      <c r="AE141" s="2">
        <f>IF(AD141&lt;&gt;"",MAX($AE$1:AE140)+1,"")</f>
        <v/>
      </c>
      <c r="AF141" s="2">
        <f>IF(A141="coverage",MAX($AF$1:AF140)+1,"")</f>
        <v/>
      </c>
      <c r="AG141" s="2">
        <f>IF(A141="line",IF(COUNTIFS($B$1:B140,B141,$C$1:C140,C141,$A$1:A140,"line")=0,MAX($AG$1:AG140)+1,""),"")</f>
        <v/>
      </c>
    </row>
    <row r="142">
      <c r="W142" s="2">
        <f>IF(A142="line",IF(D142="quote",E142,G142)&amp;"|"&amp;LOWER(TRIM(K142)),"")</f>
        <v/>
      </c>
      <c r="X142" s="2">
        <f>IF(OR(O142="LABOUR",O142="INSTALL"),"LABOUR_ALL",IF(O142="","",O142))</f>
        <v/>
      </c>
      <c r="Y142" s="9">
        <f>IF(AND(A142="line",D142="quote"),SUMIFS($N$2:$N$500,$W$2:$W$500,W142,$D$2:$D$500,"invoice",$A$2:$A$500,"line"),"")</f>
        <v/>
      </c>
      <c r="Z142" s="2">
        <f>IF(AND(A142="line",D142="quote"),COUNTIFS($W$2:$W$500,W142,$D$2:$D$500,"invoice",$A$2:$A$500,"line"),"")</f>
        <v/>
      </c>
      <c r="AA142" s="2">
        <f>IF(AND(A142="line",D142="invoice"),COUNTIFS($W$2:$W$500,W142,$D$2:$D$500,"quote",$A$2:$A$500,"line"),"")</f>
        <v/>
      </c>
      <c r="AB142" s="2">
        <f>IF(A142&lt;&gt;"line","",IF(D142="quote",IF(Z142=0,"quote only",IF(ABS(Y142-N142)&gt;Settings!$B$2,"amount differs","match")),IF(AA142=0,"invoice only","match")))</f>
        <v/>
      </c>
      <c r="AC142" s="2">
        <f>IF(AND(A142="line",AB142&lt;&gt;"match",COUNTIFS($A$2:$A$500,"coverage",$B$2:$B$500,B142,$C$2:$C$500,C142,$D$2:$D$500,"invoice")&gt;0),MAX($AC$1:AC141)+1,"")</f>
        <v/>
      </c>
      <c r="AD142" s="2">
        <f>IF(A142&lt;&gt;"line","",IF(O142="UNMAPPED","no mapping rule",IF(P142="L","low confidence","")))</f>
        <v/>
      </c>
      <c r="AE142" s="2">
        <f>IF(AD142&lt;&gt;"",MAX($AE$1:AE141)+1,"")</f>
        <v/>
      </c>
      <c r="AF142" s="2">
        <f>IF(A142="coverage",MAX($AF$1:AF141)+1,"")</f>
        <v/>
      </c>
      <c r="AG142" s="2">
        <f>IF(A142="line",IF(COUNTIFS($B$1:B141,B142,$C$1:C141,C142,$A$1:A141,"line")=0,MAX($AG$1:AG141)+1,""),"")</f>
        <v/>
      </c>
    </row>
    <row r="143">
      <c r="W143" s="2">
        <f>IF(A143="line",IF(D143="quote",E143,G143)&amp;"|"&amp;LOWER(TRIM(K143)),"")</f>
        <v/>
      </c>
      <c r="X143" s="2">
        <f>IF(OR(O143="LABOUR",O143="INSTALL"),"LABOUR_ALL",IF(O143="","",O143))</f>
        <v/>
      </c>
      <c r="Y143" s="9">
        <f>IF(AND(A143="line",D143="quote"),SUMIFS($N$2:$N$500,$W$2:$W$500,W143,$D$2:$D$500,"invoice",$A$2:$A$500,"line"),"")</f>
        <v/>
      </c>
      <c r="Z143" s="2">
        <f>IF(AND(A143="line",D143="quote"),COUNTIFS($W$2:$W$500,W143,$D$2:$D$500,"invoice",$A$2:$A$500,"line"),"")</f>
        <v/>
      </c>
      <c r="AA143" s="2">
        <f>IF(AND(A143="line",D143="invoice"),COUNTIFS($W$2:$W$500,W143,$D$2:$D$500,"quote",$A$2:$A$500,"line"),"")</f>
        <v/>
      </c>
      <c r="AB143" s="2">
        <f>IF(A143&lt;&gt;"line","",IF(D143="quote",IF(Z143=0,"quote only",IF(ABS(Y143-N143)&gt;Settings!$B$2,"amount differs","match")),IF(AA143=0,"invoice only","match")))</f>
        <v/>
      </c>
      <c r="AC143" s="2">
        <f>IF(AND(A143="line",AB143&lt;&gt;"match",COUNTIFS($A$2:$A$500,"coverage",$B$2:$B$500,B143,$C$2:$C$500,C143,$D$2:$D$500,"invoice")&gt;0),MAX($AC$1:AC142)+1,"")</f>
        <v/>
      </c>
      <c r="AD143" s="2">
        <f>IF(A143&lt;&gt;"line","",IF(O143="UNMAPPED","no mapping rule",IF(P143="L","low confidence","")))</f>
        <v/>
      </c>
      <c r="AE143" s="2">
        <f>IF(AD143&lt;&gt;"",MAX($AE$1:AE142)+1,"")</f>
        <v/>
      </c>
      <c r="AF143" s="2">
        <f>IF(A143="coverage",MAX($AF$1:AF142)+1,"")</f>
        <v/>
      </c>
      <c r="AG143" s="2">
        <f>IF(A143="line",IF(COUNTIFS($B$1:B142,B143,$C$1:C142,C143,$A$1:A142,"line")=0,MAX($AG$1:AG142)+1,""),"")</f>
        <v/>
      </c>
    </row>
    <row r="144">
      <c r="W144" s="2">
        <f>IF(A144="line",IF(D144="quote",E144,G144)&amp;"|"&amp;LOWER(TRIM(K144)),"")</f>
        <v/>
      </c>
      <c r="X144" s="2">
        <f>IF(OR(O144="LABOUR",O144="INSTALL"),"LABOUR_ALL",IF(O144="","",O144))</f>
        <v/>
      </c>
      <c r="Y144" s="9">
        <f>IF(AND(A144="line",D144="quote"),SUMIFS($N$2:$N$500,$W$2:$W$500,W144,$D$2:$D$500,"invoice",$A$2:$A$500,"line"),"")</f>
        <v/>
      </c>
      <c r="Z144" s="2">
        <f>IF(AND(A144="line",D144="quote"),COUNTIFS($W$2:$W$500,W144,$D$2:$D$500,"invoice",$A$2:$A$500,"line"),"")</f>
        <v/>
      </c>
      <c r="AA144" s="2">
        <f>IF(AND(A144="line",D144="invoice"),COUNTIFS($W$2:$W$500,W144,$D$2:$D$500,"quote",$A$2:$A$500,"line"),"")</f>
        <v/>
      </c>
      <c r="AB144" s="2">
        <f>IF(A144&lt;&gt;"line","",IF(D144="quote",IF(Z144=0,"quote only",IF(ABS(Y144-N144)&gt;Settings!$B$2,"amount differs","match")),IF(AA144=0,"invoice only","match")))</f>
        <v/>
      </c>
      <c r="AC144" s="2">
        <f>IF(AND(A144="line",AB144&lt;&gt;"match",COUNTIFS($A$2:$A$500,"coverage",$B$2:$B$500,B144,$C$2:$C$500,C144,$D$2:$D$500,"invoice")&gt;0),MAX($AC$1:AC143)+1,"")</f>
        <v/>
      </c>
      <c r="AD144" s="2">
        <f>IF(A144&lt;&gt;"line","",IF(O144="UNMAPPED","no mapping rule",IF(P144="L","low confidence","")))</f>
        <v/>
      </c>
      <c r="AE144" s="2">
        <f>IF(AD144&lt;&gt;"",MAX($AE$1:AE143)+1,"")</f>
        <v/>
      </c>
      <c r="AF144" s="2">
        <f>IF(A144="coverage",MAX($AF$1:AF143)+1,"")</f>
        <v/>
      </c>
      <c r="AG144" s="2">
        <f>IF(A144="line",IF(COUNTIFS($B$1:B143,B144,$C$1:C143,C144,$A$1:A143,"line")=0,MAX($AG$1:AG143)+1,""),"")</f>
        <v/>
      </c>
    </row>
    <row r="145">
      <c r="W145" s="2">
        <f>IF(A145="line",IF(D145="quote",E145,G145)&amp;"|"&amp;LOWER(TRIM(K145)),"")</f>
        <v/>
      </c>
      <c r="X145" s="2">
        <f>IF(OR(O145="LABOUR",O145="INSTALL"),"LABOUR_ALL",IF(O145="","",O145))</f>
        <v/>
      </c>
      <c r="Y145" s="9">
        <f>IF(AND(A145="line",D145="quote"),SUMIFS($N$2:$N$500,$W$2:$W$500,W145,$D$2:$D$500,"invoice",$A$2:$A$500,"line"),"")</f>
        <v/>
      </c>
      <c r="Z145" s="2">
        <f>IF(AND(A145="line",D145="quote"),COUNTIFS($W$2:$W$500,W145,$D$2:$D$500,"invoice",$A$2:$A$500,"line"),"")</f>
        <v/>
      </c>
      <c r="AA145" s="2">
        <f>IF(AND(A145="line",D145="invoice"),COUNTIFS($W$2:$W$500,W145,$D$2:$D$500,"quote",$A$2:$A$500,"line"),"")</f>
        <v/>
      </c>
      <c r="AB145" s="2">
        <f>IF(A145&lt;&gt;"line","",IF(D145="quote",IF(Z145=0,"quote only",IF(ABS(Y145-N145)&gt;Settings!$B$2,"amount differs","match")),IF(AA145=0,"invoice only","match")))</f>
        <v/>
      </c>
      <c r="AC145" s="2">
        <f>IF(AND(A145="line",AB145&lt;&gt;"match",COUNTIFS($A$2:$A$500,"coverage",$B$2:$B$500,B145,$C$2:$C$500,C145,$D$2:$D$500,"invoice")&gt;0),MAX($AC$1:AC144)+1,"")</f>
        <v/>
      </c>
      <c r="AD145" s="2">
        <f>IF(A145&lt;&gt;"line","",IF(O145="UNMAPPED","no mapping rule",IF(P145="L","low confidence","")))</f>
        <v/>
      </c>
      <c r="AE145" s="2">
        <f>IF(AD145&lt;&gt;"",MAX($AE$1:AE144)+1,"")</f>
        <v/>
      </c>
      <c r="AF145" s="2">
        <f>IF(A145="coverage",MAX($AF$1:AF144)+1,"")</f>
        <v/>
      </c>
      <c r="AG145" s="2">
        <f>IF(A145="line",IF(COUNTIFS($B$1:B144,B145,$C$1:C144,C145,$A$1:A144,"line")=0,MAX($AG$1:AG144)+1,""),"")</f>
        <v/>
      </c>
    </row>
    <row r="146">
      <c r="W146" s="2">
        <f>IF(A146="line",IF(D146="quote",E146,G146)&amp;"|"&amp;LOWER(TRIM(K146)),"")</f>
        <v/>
      </c>
      <c r="X146" s="2">
        <f>IF(OR(O146="LABOUR",O146="INSTALL"),"LABOUR_ALL",IF(O146="","",O146))</f>
        <v/>
      </c>
      <c r="Y146" s="9">
        <f>IF(AND(A146="line",D146="quote"),SUMIFS($N$2:$N$500,$W$2:$W$500,W146,$D$2:$D$500,"invoice",$A$2:$A$500,"line"),"")</f>
        <v/>
      </c>
      <c r="Z146" s="2">
        <f>IF(AND(A146="line",D146="quote"),COUNTIFS($W$2:$W$500,W146,$D$2:$D$500,"invoice",$A$2:$A$500,"line"),"")</f>
        <v/>
      </c>
      <c r="AA146" s="2">
        <f>IF(AND(A146="line",D146="invoice"),COUNTIFS($W$2:$W$500,W146,$D$2:$D$500,"quote",$A$2:$A$500,"line"),"")</f>
        <v/>
      </c>
      <c r="AB146" s="2">
        <f>IF(A146&lt;&gt;"line","",IF(D146="quote",IF(Z146=0,"quote only",IF(ABS(Y146-N146)&gt;Settings!$B$2,"amount differs","match")),IF(AA146=0,"invoice only","match")))</f>
        <v/>
      </c>
      <c r="AC146" s="2">
        <f>IF(AND(A146="line",AB146&lt;&gt;"match",COUNTIFS($A$2:$A$500,"coverage",$B$2:$B$500,B146,$C$2:$C$500,C146,$D$2:$D$500,"invoice")&gt;0),MAX($AC$1:AC145)+1,"")</f>
        <v/>
      </c>
      <c r="AD146" s="2">
        <f>IF(A146&lt;&gt;"line","",IF(O146="UNMAPPED","no mapping rule",IF(P146="L","low confidence","")))</f>
        <v/>
      </c>
      <c r="AE146" s="2">
        <f>IF(AD146&lt;&gt;"",MAX($AE$1:AE145)+1,"")</f>
        <v/>
      </c>
      <c r="AF146" s="2">
        <f>IF(A146="coverage",MAX($AF$1:AF145)+1,"")</f>
        <v/>
      </c>
      <c r="AG146" s="2">
        <f>IF(A146="line",IF(COUNTIFS($B$1:B145,B146,$C$1:C145,C146,$A$1:A145,"line")=0,MAX($AG$1:AG145)+1,""),"")</f>
        <v/>
      </c>
    </row>
    <row r="147">
      <c r="W147" s="2">
        <f>IF(A147="line",IF(D147="quote",E147,G147)&amp;"|"&amp;LOWER(TRIM(K147)),"")</f>
        <v/>
      </c>
      <c r="X147" s="2">
        <f>IF(OR(O147="LABOUR",O147="INSTALL"),"LABOUR_ALL",IF(O147="","",O147))</f>
        <v/>
      </c>
      <c r="Y147" s="9">
        <f>IF(AND(A147="line",D147="quote"),SUMIFS($N$2:$N$500,$W$2:$W$500,W147,$D$2:$D$500,"invoice",$A$2:$A$500,"line"),"")</f>
        <v/>
      </c>
      <c r="Z147" s="2">
        <f>IF(AND(A147="line",D147="quote"),COUNTIFS($W$2:$W$500,W147,$D$2:$D$500,"invoice",$A$2:$A$500,"line"),"")</f>
        <v/>
      </c>
      <c r="AA147" s="2">
        <f>IF(AND(A147="line",D147="invoice"),COUNTIFS($W$2:$W$500,W147,$D$2:$D$500,"quote",$A$2:$A$500,"line"),"")</f>
        <v/>
      </c>
      <c r="AB147" s="2">
        <f>IF(A147&lt;&gt;"line","",IF(D147="quote",IF(Z147=0,"quote only",IF(ABS(Y147-N147)&gt;Settings!$B$2,"amount differs","match")),IF(AA147=0,"invoice only","match")))</f>
        <v/>
      </c>
      <c r="AC147" s="2">
        <f>IF(AND(A147="line",AB147&lt;&gt;"match",COUNTIFS($A$2:$A$500,"coverage",$B$2:$B$500,B147,$C$2:$C$500,C147,$D$2:$D$500,"invoice")&gt;0),MAX($AC$1:AC146)+1,"")</f>
        <v/>
      </c>
      <c r="AD147" s="2">
        <f>IF(A147&lt;&gt;"line","",IF(O147="UNMAPPED","no mapping rule",IF(P147="L","low confidence","")))</f>
        <v/>
      </c>
      <c r="AE147" s="2">
        <f>IF(AD147&lt;&gt;"",MAX($AE$1:AE146)+1,"")</f>
        <v/>
      </c>
      <c r="AF147" s="2">
        <f>IF(A147="coverage",MAX($AF$1:AF146)+1,"")</f>
        <v/>
      </c>
      <c r="AG147" s="2">
        <f>IF(A147="line",IF(COUNTIFS($B$1:B146,B147,$C$1:C146,C147,$A$1:A146,"line")=0,MAX($AG$1:AG146)+1,""),"")</f>
        <v/>
      </c>
    </row>
    <row r="148">
      <c r="W148" s="2">
        <f>IF(A148="line",IF(D148="quote",E148,G148)&amp;"|"&amp;LOWER(TRIM(K148)),"")</f>
        <v/>
      </c>
      <c r="X148" s="2">
        <f>IF(OR(O148="LABOUR",O148="INSTALL"),"LABOUR_ALL",IF(O148="","",O148))</f>
        <v/>
      </c>
      <c r="Y148" s="9">
        <f>IF(AND(A148="line",D148="quote"),SUMIFS($N$2:$N$500,$W$2:$W$500,W148,$D$2:$D$500,"invoice",$A$2:$A$500,"line"),"")</f>
        <v/>
      </c>
      <c r="Z148" s="2">
        <f>IF(AND(A148="line",D148="quote"),COUNTIFS($W$2:$W$500,W148,$D$2:$D$500,"invoice",$A$2:$A$500,"line"),"")</f>
        <v/>
      </c>
      <c r="AA148" s="2">
        <f>IF(AND(A148="line",D148="invoice"),COUNTIFS($W$2:$W$500,W148,$D$2:$D$500,"quote",$A$2:$A$500,"line"),"")</f>
        <v/>
      </c>
      <c r="AB148" s="2">
        <f>IF(A148&lt;&gt;"line","",IF(D148="quote",IF(Z148=0,"quote only",IF(ABS(Y148-N148)&gt;Settings!$B$2,"amount differs","match")),IF(AA148=0,"invoice only","match")))</f>
        <v/>
      </c>
      <c r="AC148" s="2">
        <f>IF(AND(A148="line",AB148&lt;&gt;"match",COUNTIFS($A$2:$A$500,"coverage",$B$2:$B$500,B148,$C$2:$C$500,C148,$D$2:$D$500,"invoice")&gt;0),MAX($AC$1:AC147)+1,"")</f>
        <v/>
      </c>
      <c r="AD148" s="2">
        <f>IF(A148&lt;&gt;"line","",IF(O148="UNMAPPED","no mapping rule",IF(P148="L","low confidence","")))</f>
        <v/>
      </c>
      <c r="AE148" s="2">
        <f>IF(AD148&lt;&gt;"",MAX($AE$1:AE147)+1,"")</f>
        <v/>
      </c>
      <c r="AF148" s="2">
        <f>IF(A148="coverage",MAX($AF$1:AF147)+1,"")</f>
        <v/>
      </c>
      <c r="AG148" s="2">
        <f>IF(A148="line",IF(COUNTIFS($B$1:B147,B148,$C$1:C147,C148,$A$1:A147,"line")=0,MAX($AG$1:AG147)+1,""),"")</f>
        <v/>
      </c>
    </row>
    <row r="149">
      <c r="W149" s="2">
        <f>IF(A149="line",IF(D149="quote",E149,G149)&amp;"|"&amp;LOWER(TRIM(K149)),"")</f>
        <v/>
      </c>
      <c r="X149" s="2">
        <f>IF(OR(O149="LABOUR",O149="INSTALL"),"LABOUR_ALL",IF(O149="","",O149))</f>
        <v/>
      </c>
      <c r="Y149" s="9">
        <f>IF(AND(A149="line",D149="quote"),SUMIFS($N$2:$N$500,$W$2:$W$500,W149,$D$2:$D$500,"invoice",$A$2:$A$500,"line"),"")</f>
        <v/>
      </c>
      <c r="Z149" s="2">
        <f>IF(AND(A149="line",D149="quote"),COUNTIFS($W$2:$W$500,W149,$D$2:$D$500,"invoice",$A$2:$A$500,"line"),"")</f>
        <v/>
      </c>
      <c r="AA149" s="2">
        <f>IF(AND(A149="line",D149="invoice"),COUNTIFS($W$2:$W$500,W149,$D$2:$D$500,"quote",$A$2:$A$500,"line"),"")</f>
        <v/>
      </c>
      <c r="AB149" s="2">
        <f>IF(A149&lt;&gt;"line","",IF(D149="quote",IF(Z149=0,"quote only",IF(ABS(Y149-N149)&gt;Settings!$B$2,"amount differs","match")),IF(AA149=0,"invoice only","match")))</f>
        <v/>
      </c>
      <c r="AC149" s="2">
        <f>IF(AND(A149="line",AB149&lt;&gt;"match",COUNTIFS($A$2:$A$500,"coverage",$B$2:$B$500,B149,$C$2:$C$500,C149,$D$2:$D$500,"invoice")&gt;0),MAX($AC$1:AC148)+1,"")</f>
        <v/>
      </c>
      <c r="AD149" s="2">
        <f>IF(A149&lt;&gt;"line","",IF(O149="UNMAPPED","no mapping rule",IF(P149="L","low confidence","")))</f>
        <v/>
      </c>
      <c r="AE149" s="2">
        <f>IF(AD149&lt;&gt;"",MAX($AE$1:AE148)+1,"")</f>
        <v/>
      </c>
      <c r="AF149" s="2">
        <f>IF(A149="coverage",MAX($AF$1:AF148)+1,"")</f>
        <v/>
      </c>
      <c r="AG149" s="2">
        <f>IF(A149="line",IF(COUNTIFS($B$1:B148,B149,$C$1:C148,C149,$A$1:A148,"line")=0,MAX($AG$1:AG148)+1,""),"")</f>
        <v/>
      </c>
    </row>
    <row r="150">
      <c r="W150" s="2">
        <f>IF(A150="line",IF(D150="quote",E150,G150)&amp;"|"&amp;LOWER(TRIM(K150)),"")</f>
        <v/>
      </c>
      <c r="X150" s="2">
        <f>IF(OR(O150="LABOUR",O150="INSTALL"),"LABOUR_ALL",IF(O150="","",O150))</f>
        <v/>
      </c>
      <c r="Y150" s="9">
        <f>IF(AND(A150="line",D150="quote"),SUMIFS($N$2:$N$500,$W$2:$W$500,W150,$D$2:$D$500,"invoice",$A$2:$A$500,"line"),"")</f>
        <v/>
      </c>
      <c r="Z150" s="2">
        <f>IF(AND(A150="line",D150="quote"),COUNTIFS($W$2:$W$500,W150,$D$2:$D$500,"invoice",$A$2:$A$500,"line"),"")</f>
        <v/>
      </c>
      <c r="AA150" s="2">
        <f>IF(AND(A150="line",D150="invoice"),COUNTIFS($W$2:$W$500,W150,$D$2:$D$500,"quote",$A$2:$A$500,"line"),"")</f>
        <v/>
      </c>
      <c r="AB150" s="2">
        <f>IF(A150&lt;&gt;"line","",IF(D150="quote",IF(Z150=0,"quote only",IF(ABS(Y150-N150)&gt;Settings!$B$2,"amount differs","match")),IF(AA150=0,"invoice only","match")))</f>
        <v/>
      </c>
      <c r="AC150" s="2">
        <f>IF(AND(A150="line",AB150&lt;&gt;"match",COUNTIFS($A$2:$A$500,"coverage",$B$2:$B$500,B150,$C$2:$C$500,C150,$D$2:$D$500,"invoice")&gt;0),MAX($AC$1:AC149)+1,"")</f>
        <v/>
      </c>
      <c r="AD150" s="2">
        <f>IF(A150&lt;&gt;"line","",IF(O150="UNMAPPED","no mapping rule",IF(P150="L","low confidence","")))</f>
        <v/>
      </c>
      <c r="AE150" s="2">
        <f>IF(AD150&lt;&gt;"",MAX($AE$1:AE149)+1,"")</f>
        <v/>
      </c>
      <c r="AF150" s="2">
        <f>IF(A150="coverage",MAX($AF$1:AF149)+1,"")</f>
        <v/>
      </c>
      <c r="AG150" s="2">
        <f>IF(A150="line",IF(COUNTIFS($B$1:B149,B150,$C$1:C149,C150,$A$1:A149,"line")=0,MAX($AG$1:AG149)+1,""),"")</f>
        <v/>
      </c>
    </row>
    <row r="151">
      <c r="W151" s="2">
        <f>IF(A151="line",IF(D151="quote",E151,G151)&amp;"|"&amp;LOWER(TRIM(K151)),"")</f>
        <v/>
      </c>
      <c r="X151" s="2">
        <f>IF(OR(O151="LABOUR",O151="INSTALL"),"LABOUR_ALL",IF(O151="","",O151))</f>
        <v/>
      </c>
      <c r="Y151" s="9">
        <f>IF(AND(A151="line",D151="quote"),SUMIFS($N$2:$N$500,$W$2:$W$500,W151,$D$2:$D$500,"invoice",$A$2:$A$500,"line"),"")</f>
        <v/>
      </c>
      <c r="Z151" s="2">
        <f>IF(AND(A151="line",D151="quote"),COUNTIFS($W$2:$W$500,W151,$D$2:$D$500,"invoice",$A$2:$A$500,"line"),"")</f>
        <v/>
      </c>
      <c r="AA151" s="2">
        <f>IF(AND(A151="line",D151="invoice"),COUNTIFS($W$2:$W$500,W151,$D$2:$D$500,"quote",$A$2:$A$500,"line"),"")</f>
        <v/>
      </c>
      <c r="AB151" s="2">
        <f>IF(A151&lt;&gt;"line","",IF(D151="quote",IF(Z151=0,"quote only",IF(ABS(Y151-N151)&gt;Settings!$B$2,"amount differs","match")),IF(AA151=0,"invoice only","match")))</f>
        <v/>
      </c>
      <c r="AC151" s="2">
        <f>IF(AND(A151="line",AB151&lt;&gt;"match",COUNTIFS($A$2:$A$500,"coverage",$B$2:$B$500,B151,$C$2:$C$500,C151,$D$2:$D$500,"invoice")&gt;0),MAX($AC$1:AC150)+1,"")</f>
        <v/>
      </c>
      <c r="AD151" s="2">
        <f>IF(A151&lt;&gt;"line","",IF(O151="UNMAPPED","no mapping rule",IF(P151="L","low confidence","")))</f>
        <v/>
      </c>
      <c r="AE151" s="2">
        <f>IF(AD151&lt;&gt;"",MAX($AE$1:AE150)+1,"")</f>
        <v/>
      </c>
      <c r="AF151" s="2">
        <f>IF(A151="coverage",MAX($AF$1:AF150)+1,"")</f>
        <v/>
      </c>
      <c r="AG151" s="2">
        <f>IF(A151="line",IF(COUNTIFS($B$1:B150,B151,$C$1:C150,C151,$A$1:A150,"line")=0,MAX($AG$1:AG150)+1,""),"")</f>
        <v/>
      </c>
    </row>
    <row r="152">
      <c r="W152" s="2">
        <f>IF(A152="line",IF(D152="quote",E152,G152)&amp;"|"&amp;LOWER(TRIM(K152)),"")</f>
        <v/>
      </c>
      <c r="X152" s="2">
        <f>IF(OR(O152="LABOUR",O152="INSTALL"),"LABOUR_ALL",IF(O152="","",O152))</f>
        <v/>
      </c>
      <c r="Y152" s="9">
        <f>IF(AND(A152="line",D152="quote"),SUMIFS($N$2:$N$500,$W$2:$W$500,W152,$D$2:$D$500,"invoice",$A$2:$A$500,"line"),"")</f>
        <v/>
      </c>
      <c r="Z152" s="2">
        <f>IF(AND(A152="line",D152="quote"),COUNTIFS($W$2:$W$500,W152,$D$2:$D$500,"invoice",$A$2:$A$500,"line"),"")</f>
        <v/>
      </c>
      <c r="AA152" s="2">
        <f>IF(AND(A152="line",D152="invoice"),COUNTIFS($W$2:$W$500,W152,$D$2:$D$500,"quote",$A$2:$A$500,"line"),"")</f>
        <v/>
      </c>
      <c r="AB152" s="2">
        <f>IF(A152&lt;&gt;"line","",IF(D152="quote",IF(Z152=0,"quote only",IF(ABS(Y152-N152)&gt;Settings!$B$2,"amount differs","match")),IF(AA152=0,"invoice only","match")))</f>
        <v/>
      </c>
      <c r="AC152" s="2">
        <f>IF(AND(A152="line",AB152&lt;&gt;"match",COUNTIFS($A$2:$A$500,"coverage",$B$2:$B$500,B152,$C$2:$C$500,C152,$D$2:$D$500,"invoice")&gt;0),MAX($AC$1:AC151)+1,"")</f>
        <v/>
      </c>
      <c r="AD152" s="2">
        <f>IF(A152&lt;&gt;"line","",IF(O152="UNMAPPED","no mapping rule",IF(P152="L","low confidence","")))</f>
        <v/>
      </c>
      <c r="AE152" s="2">
        <f>IF(AD152&lt;&gt;"",MAX($AE$1:AE151)+1,"")</f>
        <v/>
      </c>
      <c r="AF152" s="2">
        <f>IF(A152="coverage",MAX($AF$1:AF151)+1,"")</f>
        <v/>
      </c>
      <c r="AG152" s="2">
        <f>IF(A152="line",IF(COUNTIFS($B$1:B151,B152,$C$1:C151,C152,$A$1:A151,"line")=0,MAX($AG$1:AG151)+1,""),"")</f>
        <v/>
      </c>
    </row>
    <row r="153">
      <c r="W153" s="2">
        <f>IF(A153="line",IF(D153="quote",E153,G153)&amp;"|"&amp;LOWER(TRIM(K153)),"")</f>
        <v/>
      </c>
      <c r="X153" s="2">
        <f>IF(OR(O153="LABOUR",O153="INSTALL"),"LABOUR_ALL",IF(O153="","",O153))</f>
        <v/>
      </c>
      <c r="Y153" s="9">
        <f>IF(AND(A153="line",D153="quote"),SUMIFS($N$2:$N$500,$W$2:$W$500,W153,$D$2:$D$500,"invoice",$A$2:$A$500,"line"),"")</f>
        <v/>
      </c>
      <c r="Z153" s="2">
        <f>IF(AND(A153="line",D153="quote"),COUNTIFS($W$2:$W$500,W153,$D$2:$D$500,"invoice",$A$2:$A$500,"line"),"")</f>
        <v/>
      </c>
      <c r="AA153" s="2">
        <f>IF(AND(A153="line",D153="invoice"),COUNTIFS($W$2:$W$500,W153,$D$2:$D$500,"quote",$A$2:$A$500,"line"),"")</f>
        <v/>
      </c>
      <c r="AB153" s="2">
        <f>IF(A153&lt;&gt;"line","",IF(D153="quote",IF(Z153=0,"quote only",IF(ABS(Y153-N153)&gt;Settings!$B$2,"amount differs","match")),IF(AA153=0,"invoice only","match")))</f>
        <v/>
      </c>
      <c r="AC153" s="2">
        <f>IF(AND(A153="line",AB153&lt;&gt;"match",COUNTIFS($A$2:$A$500,"coverage",$B$2:$B$500,B153,$C$2:$C$500,C153,$D$2:$D$500,"invoice")&gt;0),MAX($AC$1:AC152)+1,"")</f>
        <v/>
      </c>
      <c r="AD153" s="2">
        <f>IF(A153&lt;&gt;"line","",IF(O153="UNMAPPED","no mapping rule",IF(P153="L","low confidence","")))</f>
        <v/>
      </c>
      <c r="AE153" s="2">
        <f>IF(AD153&lt;&gt;"",MAX($AE$1:AE152)+1,"")</f>
        <v/>
      </c>
      <c r="AF153" s="2">
        <f>IF(A153="coverage",MAX($AF$1:AF152)+1,"")</f>
        <v/>
      </c>
      <c r="AG153" s="2">
        <f>IF(A153="line",IF(COUNTIFS($B$1:B152,B153,$C$1:C152,C153,$A$1:A152,"line")=0,MAX($AG$1:AG152)+1,""),"")</f>
        <v/>
      </c>
    </row>
    <row r="154">
      <c r="W154" s="2">
        <f>IF(A154="line",IF(D154="quote",E154,G154)&amp;"|"&amp;LOWER(TRIM(K154)),"")</f>
        <v/>
      </c>
      <c r="X154" s="2">
        <f>IF(OR(O154="LABOUR",O154="INSTALL"),"LABOUR_ALL",IF(O154="","",O154))</f>
        <v/>
      </c>
      <c r="Y154" s="9">
        <f>IF(AND(A154="line",D154="quote"),SUMIFS($N$2:$N$500,$W$2:$W$500,W154,$D$2:$D$500,"invoice",$A$2:$A$500,"line"),"")</f>
        <v/>
      </c>
      <c r="Z154" s="2">
        <f>IF(AND(A154="line",D154="quote"),COUNTIFS($W$2:$W$500,W154,$D$2:$D$500,"invoice",$A$2:$A$500,"line"),"")</f>
        <v/>
      </c>
      <c r="AA154" s="2">
        <f>IF(AND(A154="line",D154="invoice"),COUNTIFS($W$2:$W$500,W154,$D$2:$D$500,"quote",$A$2:$A$500,"line"),"")</f>
        <v/>
      </c>
      <c r="AB154" s="2">
        <f>IF(A154&lt;&gt;"line","",IF(D154="quote",IF(Z154=0,"quote only",IF(ABS(Y154-N154)&gt;Settings!$B$2,"amount differs","match")),IF(AA154=0,"invoice only","match")))</f>
        <v/>
      </c>
      <c r="AC154" s="2">
        <f>IF(AND(A154="line",AB154&lt;&gt;"match",COUNTIFS($A$2:$A$500,"coverage",$B$2:$B$500,B154,$C$2:$C$500,C154,$D$2:$D$500,"invoice")&gt;0),MAX($AC$1:AC153)+1,"")</f>
        <v/>
      </c>
      <c r="AD154" s="2">
        <f>IF(A154&lt;&gt;"line","",IF(O154="UNMAPPED","no mapping rule",IF(P154="L","low confidence","")))</f>
        <v/>
      </c>
      <c r="AE154" s="2">
        <f>IF(AD154&lt;&gt;"",MAX($AE$1:AE153)+1,"")</f>
        <v/>
      </c>
      <c r="AF154" s="2">
        <f>IF(A154="coverage",MAX($AF$1:AF153)+1,"")</f>
        <v/>
      </c>
      <c r="AG154" s="2">
        <f>IF(A154="line",IF(COUNTIFS($B$1:B153,B154,$C$1:C153,C154,$A$1:A153,"line")=0,MAX($AG$1:AG153)+1,""),"")</f>
        <v/>
      </c>
    </row>
    <row r="155">
      <c r="W155" s="2">
        <f>IF(A155="line",IF(D155="quote",E155,G155)&amp;"|"&amp;LOWER(TRIM(K155)),"")</f>
        <v/>
      </c>
      <c r="X155" s="2">
        <f>IF(OR(O155="LABOUR",O155="INSTALL"),"LABOUR_ALL",IF(O155="","",O155))</f>
        <v/>
      </c>
      <c r="Y155" s="9">
        <f>IF(AND(A155="line",D155="quote"),SUMIFS($N$2:$N$500,$W$2:$W$500,W155,$D$2:$D$500,"invoice",$A$2:$A$500,"line"),"")</f>
        <v/>
      </c>
      <c r="Z155" s="2">
        <f>IF(AND(A155="line",D155="quote"),COUNTIFS($W$2:$W$500,W155,$D$2:$D$500,"invoice",$A$2:$A$500,"line"),"")</f>
        <v/>
      </c>
      <c r="AA155" s="2">
        <f>IF(AND(A155="line",D155="invoice"),COUNTIFS($W$2:$W$500,W155,$D$2:$D$500,"quote",$A$2:$A$500,"line"),"")</f>
        <v/>
      </c>
      <c r="AB155" s="2">
        <f>IF(A155&lt;&gt;"line","",IF(D155="quote",IF(Z155=0,"quote only",IF(ABS(Y155-N155)&gt;Settings!$B$2,"amount differs","match")),IF(AA155=0,"invoice only","match")))</f>
        <v/>
      </c>
      <c r="AC155" s="2">
        <f>IF(AND(A155="line",AB155&lt;&gt;"match",COUNTIFS($A$2:$A$500,"coverage",$B$2:$B$500,B155,$C$2:$C$500,C155,$D$2:$D$500,"invoice")&gt;0),MAX($AC$1:AC154)+1,"")</f>
        <v/>
      </c>
      <c r="AD155" s="2">
        <f>IF(A155&lt;&gt;"line","",IF(O155="UNMAPPED","no mapping rule",IF(P155="L","low confidence","")))</f>
        <v/>
      </c>
      <c r="AE155" s="2">
        <f>IF(AD155&lt;&gt;"",MAX($AE$1:AE154)+1,"")</f>
        <v/>
      </c>
      <c r="AF155" s="2">
        <f>IF(A155="coverage",MAX($AF$1:AF154)+1,"")</f>
        <v/>
      </c>
      <c r="AG155" s="2">
        <f>IF(A155="line",IF(COUNTIFS($B$1:B154,B155,$C$1:C154,C155,$A$1:A154,"line")=0,MAX($AG$1:AG154)+1,""),"")</f>
        <v/>
      </c>
    </row>
    <row r="156">
      <c r="W156" s="2">
        <f>IF(A156="line",IF(D156="quote",E156,G156)&amp;"|"&amp;LOWER(TRIM(K156)),"")</f>
        <v/>
      </c>
      <c r="X156" s="2">
        <f>IF(OR(O156="LABOUR",O156="INSTALL"),"LABOUR_ALL",IF(O156="","",O156))</f>
        <v/>
      </c>
      <c r="Y156" s="9">
        <f>IF(AND(A156="line",D156="quote"),SUMIFS($N$2:$N$500,$W$2:$W$500,W156,$D$2:$D$500,"invoice",$A$2:$A$500,"line"),"")</f>
        <v/>
      </c>
      <c r="Z156" s="2">
        <f>IF(AND(A156="line",D156="quote"),COUNTIFS($W$2:$W$500,W156,$D$2:$D$500,"invoice",$A$2:$A$500,"line"),"")</f>
        <v/>
      </c>
      <c r="AA156" s="2">
        <f>IF(AND(A156="line",D156="invoice"),COUNTIFS($W$2:$W$500,W156,$D$2:$D$500,"quote",$A$2:$A$500,"line"),"")</f>
        <v/>
      </c>
      <c r="AB156" s="2">
        <f>IF(A156&lt;&gt;"line","",IF(D156="quote",IF(Z156=0,"quote only",IF(ABS(Y156-N156)&gt;Settings!$B$2,"amount differs","match")),IF(AA156=0,"invoice only","match")))</f>
        <v/>
      </c>
      <c r="AC156" s="2">
        <f>IF(AND(A156="line",AB156&lt;&gt;"match",COUNTIFS($A$2:$A$500,"coverage",$B$2:$B$500,B156,$C$2:$C$500,C156,$D$2:$D$500,"invoice")&gt;0),MAX($AC$1:AC155)+1,"")</f>
        <v/>
      </c>
      <c r="AD156" s="2">
        <f>IF(A156&lt;&gt;"line","",IF(O156="UNMAPPED","no mapping rule",IF(P156="L","low confidence","")))</f>
        <v/>
      </c>
      <c r="AE156" s="2">
        <f>IF(AD156&lt;&gt;"",MAX($AE$1:AE155)+1,"")</f>
        <v/>
      </c>
      <c r="AF156" s="2">
        <f>IF(A156="coverage",MAX($AF$1:AF155)+1,"")</f>
        <v/>
      </c>
      <c r="AG156" s="2">
        <f>IF(A156="line",IF(COUNTIFS($B$1:B155,B156,$C$1:C155,C156,$A$1:A155,"line")=0,MAX($AG$1:AG155)+1,""),"")</f>
        <v/>
      </c>
    </row>
    <row r="157">
      <c r="W157" s="2">
        <f>IF(A157="line",IF(D157="quote",E157,G157)&amp;"|"&amp;LOWER(TRIM(K157)),"")</f>
        <v/>
      </c>
      <c r="X157" s="2">
        <f>IF(OR(O157="LABOUR",O157="INSTALL"),"LABOUR_ALL",IF(O157="","",O157))</f>
        <v/>
      </c>
      <c r="Y157" s="9">
        <f>IF(AND(A157="line",D157="quote"),SUMIFS($N$2:$N$500,$W$2:$W$500,W157,$D$2:$D$500,"invoice",$A$2:$A$500,"line"),"")</f>
        <v/>
      </c>
      <c r="Z157" s="2">
        <f>IF(AND(A157="line",D157="quote"),COUNTIFS($W$2:$W$500,W157,$D$2:$D$500,"invoice",$A$2:$A$500,"line"),"")</f>
        <v/>
      </c>
      <c r="AA157" s="2">
        <f>IF(AND(A157="line",D157="invoice"),COUNTIFS($W$2:$W$500,W157,$D$2:$D$500,"quote",$A$2:$A$500,"line"),"")</f>
        <v/>
      </c>
      <c r="AB157" s="2">
        <f>IF(A157&lt;&gt;"line","",IF(D157="quote",IF(Z157=0,"quote only",IF(ABS(Y157-N157)&gt;Settings!$B$2,"amount differs","match")),IF(AA157=0,"invoice only","match")))</f>
        <v/>
      </c>
      <c r="AC157" s="2">
        <f>IF(AND(A157="line",AB157&lt;&gt;"match",COUNTIFS($A$2:$A$500,"coverage",$B$2:$B$500,B157,$C$2:$C$500,C157,$D$2:$D$500,"invoice")&gt;0),MAX($AC$1:AC156)+1,"")</f>
        <v/>
      </c>
      <c r="AD157" s="2">
        <f>IF(A157&lt;&gt;"line","",IF(O157="UNMAPPED","no mapping rule",IF(P157="L","low confidence","")))</f>
        <v/>
      </c>
      <c r="AE157" s="2">
        <f>IF(AD157&lt;&gt;"",MAX($AE$1:AE156)+1,"")</f>
        <v/>
      </c>
      <c r="AF157" s="2">
        <f>IF(A157="coverage",MAX($AF$1:AF156)+1,"")</f>
        <v/>
      </c>
      <c r="AG157" s="2">
        <f>IF(A157="line",IF(COUNTIFS($B$1:B156,B157,$C$1:C156,C157,$A$1:A156,"line")=0,MAX($AG$1:AG156)+1,""),"")</f>
        <v/>
      </c>
    </row>
    <row r="158">
      <c r="W158" s="2">
        <f>IF(A158="line",IF(D158="quote",E158,G158)&amp;"|"&amp;LOWER(TRIM(K158)),"")</f>
        <v/>
      </c>
      <c r="X158" s="2">
        <f>IF(OR(O158="LABOUR",O158="INSTALL"),"LABOUR_ALL",IF(O158="","",O158))</f>
        <v/>
      </c>
      <c r="Y158" s="9">
        <f>IF(AND(A158="line",D158="quote"),SUMIFS($N$2:$N$500,$W$2:$W$500,W158,$D$2:$D$500,"invoice",$A$2:$A$500,"line"),"")</f>
        <v/>
      </c>
      <c r="Z158" s="2">
        <f>IF(AND(A158="line",D158="quote"),COUNTIFS($W$2:$W$500,W158,$D$2:$D$500,"invoice",$A$2:$A$500,"line"),"")</f>
        <v/>
      </c>
      <c r="AA158" s="2">
        <f>IF(AND(A158="line",D158="invoice"),COUNTIFS($W$2:$W$500,W158,$D$2:$D$500,"quote",$A$2:$A$500,"line"),"")</f>
        <v/>
      </c>
      <c r="AB158" s="2">
        <f>IF(A158&lt;&gt;"line","",IF(D158="quote",IF(Z158=0,"quote only",IF(ABS(Y158-N158)&gt;Settings!$B$2,"amount differs","match")),IF(AA158=0,"invoice only","match")))</f>
        <v/>
      </c>
      <c r="AC158" s="2">
        <f>IF(AND(A158="line",AB158&lt;&gt;"match",COUNTIFS($A$2:$A$500,"coverage",$B$2:$B$500,B158,$C$2:$C$500,C158,$D$2:$D$500,"invoice")&gt;0),MAX($AC$1:AC157)+1,"")</f>
        <v/>
      </c>
      <c r="AD158" s="2">
        <f>IF(A158&lt;&gt;"line","",IF(O158="UNMAPPED","no mapping rule",IF(P158="L","low confidence","")))</f>
        <v/>
      </c>
      <c r="AE158" s="2">
        <f>IF(AD158&lt;&gt;"",MAX($AE$1:AE157)+1,"")</f>
        <v/>
      </c>
      <c r="AF158" s="2">
        <f>IF(A158="coverage",MAX($AF$1:AF157)+1,"")</f>
        <v/>
      </c>
      <c r="AG158" s="2">
        <f>IF(A158="line",IF(COUNTIFS($B$1:B157,B158,$C$1:C157,C158,$A$1:A157,"line")=0,MAX($AG$1:AG157)+1,""),"")</f>
        <v/>
      </c>
    </row>
    <row r="159">
      <c r="W159" s="2">
        <f>IF(A159="line",IF(D159="quote",E159,G159)&amp;"|"&amp;LOWER(TRIM(K159)),"")</f>
        <v/>
      </c>
      <c r="X159" s="2">
        <f>IF(OR(O159="LABOUR",O159="INSTALL"),"LABOUR_ALL",IF(O159="","",O159))</f>
        <v/>
      </c>
      <c r="Y159" s="9">
        <f>IF(AND(A159="line",D159="quote"),SUMIFS($N$2:$N$500,$W$2:$W$500,W159,$D$2:$D$500,"invoice",$A$2:$A$500,"line"),"")</f>
        <v/>
      </c>
      <c r="Z159" s="2">
        <f>IF(AND(A159="line",D159="quote"),COUNTIFS($W$2:$W$500,W159,$D$2:$D$500,"invoice",$A$2:$A$500,"line"),"")</f>
        <v/>
      </c>
      <c r="AA159" s="2">
        <f>IF(AND(A159="line",D159="invoice"),COUNTIFS($W$2:$W$500,W159,$D$2:$D$500,"quote",$A$2:$A$500,"line"),"")</f>
        <v/>
      </c>
      <c r="AB159" s="2">
        <f>IF(A159&lt;&gt;"line","",IF(D159="quote",IF(Z159=0,"quote only",IF(ABS(Y159-N159)&gt;Settings!$B$2,"amount differs","match")),IF(AA159=0,"invoice only","match")))</f>
        <v/>
      </c>
      <c r="AC159" s="2">
        <f>IF(AND(A159="line",AB159&lt;&gt;"match",COUNTIFS($A$2:$A$500,"coverage",$B$2:$B$500,B159,$C$2:$C$500,C159,$D$2:$D$500,"invoice")&gt;0),MAX($AC$1:AC158)+1,"")</f>
        <v/>
      </c>
      <c r="AD159" s="2">
        <f>IF(A159&lt;&gt;"line","",IF(O159="UNMAPPED","no mapping rule",IF(P159="L","low confidence","")))</f>
        <v/>
      </c>
      <c r="AE159" s="2">
        <f>IF(AD159&lt;&gt;"",MAX($AE$1:AE158)+1,"")</f>
        <v/>
      </c>
      <c r="AF159" s="2">
        <f>IF(A159="coverage",MAX($AF$1:AF158)+1,"")</f>
        <v/>
      </c>
      <c r="AG159" s="2">
        <f>IF(A159="line",IF(COUNTIFS($B$1:B158,B159,$C$1:C158,C159,$A$1:A158,"line")=0,MAX($AG$1:AG158)+1,""),"")</f>
        <v/>
      </c>
    </row>
    <row r="160">
      <c r="W160" s="2">
        <f>IF(A160="line",IF(D160="quote",E160,G160)&amp;"|"&amp;LOWER(TRIM(K160)),"")</f>
        <v/>
      </c>
      <c r="X160" s="2">
        <f>IF(OR(O160="LABOUR",O160="INSTALL"),"LABOUR_ALL",IF(O160="","",O160))</f>
        <v/>
      </c>
      <c r="Y160" s="9">
        <f>IF(AND(A160="line",D160="quote"),SUMIFS($N$2:$N$500,$W$2:$W$500,W160,$D$2:$D$500,"invoice",$A$2:$A$500,"line"),"")</f>
        <v/>
      </c>
      <c r="Z160" s="2">
        <f>IF(AND(A160="line",D160="quote"),COUNTIFS($W$2:$W$500,W160,$D$2:$D$500,"invoice",$A$2:$A$500,"line"),"")</f>
        <v/>
      </c>
      <c r="AA160" s="2">
        <f>IF(AND(A160="line",D160="invoice"),COUNTIFS($W$2:$W$500,W160,$D$2:$D$500,"quote",$A$2:$A$500,"line"),"")</f>
        <v/>
      </c>
      <c r="AB160" s="2">
        <f>IF(A160&lt;&gt;"line","",IF(D160="quote",IF(Z160=0,"quote only",IF(ABS(Y160-N160)&gt;Settings!$B$2,"amount differs","match")),IF(AA160=0,"invoice only","match")))</f>
        <v/>
      </c>
      <c r="AC160" s="2">
        <f>IF(AND(A160="line",AB160&lt;&gt;"match",COUNTIFS($A$2:$A$500,"coverage",$B$2:$B$500,B160,$C$2:$C$500,C160,$D$2:$D$500,"invoice")&gt;0),MAX($AC$1:AC159)+1,"")</f>
        <v/>
      </c>
      <c r="AD160" s="2">
        <f>IF(A160&lt;&gt;"line","",IF(O160="UNMAPPED","no mapping rule",IF(P160="L","low confidence","")))</f>
        <v/>
      </c>
      <c r="AE160" s="2">
        <f>IF(AD160&lt;&gt;"",MAX($AE$1:AE159)+1,"")</f>
        <v/>
      </c>
      <c r="AF160" s="2">
        <f>IF(A160="coverage",MAX($AF$1:AF159)+1,"")</f>
        <v/>
      </c>
      <c r="AG160" s="2">
        <f>IF(A160="line",IF(COUNTIFS($B$1:B159,B160,$C$1:C159,C160,$A$1:A159,"line")=0,MAX($AG$1:AG159)+1,""),"")</f>
        <v/>
      </c>
    </row>
    <row r="161">
      <c r="W161" s="2">
        <f>IF(A161="line",IF(D161="quote",E161,G161)&amp;"|"&amp;LOWER(TRIM(K161)),"")</f>
        <v/>
      </c>
      <c r="X161" s="2">
        <f>IF(OR(O161="LABOUR",O161="INSTALL"),"LABOUR_ALL",IF(O161="","",O161))</f>
        <v/>
      </c>
      <c r="Y161" s="9">
        <f>IF(AND(A161="line",D161="quote"),SUMIFS($N$2:$N$500,$W$2:$W$500,W161,$D$2:$D$500,"invoice",$A$2:$A$500,"line"),"")</f>
        <v/>
      </c>
      <c r="Z161" s="2">
        <f>IF(AND(A161="line",D161="quote"),COUNTIFS($W$2:$W$500,W161,$D$2:$D$500,"invoice",$A$2:$A$500,"line"),"")</f>
        <v/>
      </c>
      <c r="AA161" s="2">
        <f>IF(AND(A161="line",D161="invoice"),COUNTIFS($W$2:$W$500,W161,$D$2:$D$500,"quote",$A$2:$A$500,"line"),"")</f>
        <v/>
      </c>
      <c r="AB161" s="2">
        <f>IF(A161&lt;&gt;"line","",IF(D161="quote",IF(Z161=0,"quote only",IF(ABS(Y161-N161)&gt;Settings!$B$2,"amount differs","match")),IF(AA161=0,"invoice only","match")))</f>
        <v/>
      </c>
      <c r="AC161" s="2">
        <f>IF(AND(A161="line",AB161&lt;&gt;"match",COUNTIFS($A$2:$A$500,"coverage",$B$2:$B$500,B161,$C$2:$C$500,C161,$D$2:$D$500,"invoice")&gt;0),MAX($AC$1:AC160)+1,"")</f>
        <v/>
      </c>
      <c r="AD161" s="2">
        <f>IF(A161&lt;&gt;"line","",IF(O161="UNMAPPED","no mapping rule",IF(P161="L","low confidence","")))</f>
        <v/>
      </c>
      <c r="AE161" s="2">
        <f>IF(AD161&lt;&gt;"",MAX($AE$1:AE160)+1,"")</f>
        <v/>
      </c>
      <c r="AF161" s="2">
        <f>IF(A161="coverage",MAX($AF$1:AF160)+1,"")</f>
        <v/>
      </c>
      <c r="AG161" s="2">
        <f>IF(A161="line",IF(COUNTIFS($B$1:B160,B161,$C$1:C160,C161,$A$1:A160,"line")=0,MAX($AG$1:AG160)+1,""),"")</f>
        <v/>
      </c>
    </row>
    <row r="162">
      <c r="W162" s="2">
        <f>IF(A162="line",IF(D162="quote",E162,G162)&amp;"|"&amp;LOWER(TRIM(K162)),"")</f>
        <v/>
      </c>
      <c r="X162" s="2">
        <f>IF(OR(O162="LABOUR",O162="INSTALL"),"LABOUR_ALL",IF(O162="","",O162))</f>
        <v/>
      </c>
      <c r="Y162" s="9">
        <f>IF(AND(A162="line",D162="quote"),SUMIFS($N$2:$N$500,$W$2:$W$500,W162,$D$2:$D$500,"invoice",$A$2:$A$500,"line"),"")</f>
        <v/>
      </c>
      <c r="Z162" s="2">
        <f>IF(AND(A162="line",D162="quote"),COUNTIFS($W$2:$W$500,W162,$D$2:$D$500,"invoice",$A$2:$A$500,"line"),"")</f>
        <v/>
      </c>
      <c r="AA162" s="2">
        <f>IF(AND(A162="line",D162="invoice"),COUNTIFS($W$2:$W$500,W162,$D$2:$D$500,"quote",$A$2:$A$500,"line"),"")</f>
        <v/>
      </c>
      <c r="AB162" s="2">
        <f>IF(A162&lt;&gt;"line","",IF(D162="quote",IF(Z162=0,"quote only",IF(ABS(Y162-N162)&gt;Settings!$B$2,"amount differs","match")),IF(AA162=0,"invoice only","match")))</f>
        <v/>
      </c>
      <c r="AC162" s="2">
        <f>IF(AND(A162="line",AB162&lt;&gt;"match",COUNTIFS($A$2:$A$500,"coverage",$B$2:$B$500,B162,$C$2:$C$500,C162,$D$2:$D$500,"invoice")&gt;0),MAX($AC$1:AC161)+1,"")</f>
        <v/>
      </c>
      <c r="AD162" s="2">
        <f>IF(A162&lt;&gt;"line","",IF(O162="UNMAPPED","no mapping rule",IF(P162="L","low confidence","")))</f>
        <v/>
      </c>
      <c r="AE162" s="2">
        <f>IF(AD162&lt;&gt;"",MAX($AE$1:AE161)+1,"")</f>
        <v/>
      </c>
      <c r="AF162" s="2">
        <f>IF(A162="coverage",MAX($AF$1:AF161)+1,"")</f>
        <v/>
      </c>
      <c r="AG162" s="2">
        <f>IF(A162="line",IF(COUNTIFS($B$1:B161,B162,$C$1:C161,C162,$A$1:A161,"line")=0,MAX($AG$1:AG161)+1,""),"")</f>
        <v/>
      </c>
    </row>
    <row r="163">
      <c r="W163" s="2">
        <f>IF(A163="line",IF(D163="quote",E163,G163)&amp;"|"&amp;LOWER(TRIM(K163)),"")</f>
        <v/>
      </c>
      <c r="X163" s="2">
        <f>IF(OR(O163="LABOUR",O163="INSTALL"),"LABOUR_ALL",IF(O163="","",O163))</f>
        <v/>
      </c>
      <c r="Y163" s="9">
        <f>IF(AND(A163="line",D163="quote"),SUMIFS($N$2:$N$500,$W$2:$W$500,W163,$D$2:$D$500,"invoice",$A$2:$A$500,"line"),"")</f>
        <v/>
      </c>
      <c r="Z163" s="2">
        <f>IF(AND(A163="line",D163="quote"),COUNTIFS($W$2:$W$500,W163,$D$2:$D$500,"invoice",$A$2:$A$500,"line"),"")</f>
        <v/>
      </c>
      <c r="AA163" s="2">
        <f>IF(AND(A163="line",D163="invoice"),COUNTIFS($W$2:$W$500,W163,$D$2:$D$500,"quote",$A$2:$A$500,"line"),"")</f>
        <v/>
      </c>
      <c r="AB163" s="2">
        <f>IF(A163&lt;&gt;"line","",IF(D163="quote",IF(Z163=0,"quote only",IF(ABS(Y163-N163)&gt;Settings!$B$2,"amount differs","match")),IF(AA163=0,"invoice only","match")))</f>
        <v/>
      </c>
      <c r="AC163" s="2">
        <f>IF(AND(A163="line",AB163&lt;&gt;"match",COUNTIFS($A$2:$A$500,"coverage",$B$2:$B$500,B163,$C$2:$C$500,C163,$D$2:$D$500,"invoice")&gt;0),MAX($AC$1:AC162)+1,"")</f>
        <v/>
      </c>
      <c r="AD163" s="2">
        <f>IF(A163&lt;&gt;"line","",IF(O163="UNMAPPED","no mapping rule",IF(P163="L","low confidence","")))</f>
        <v/>
      </c>
      <c r="AE163" s="2">
        <f>IF(AD163&lt;&gt;"",MAX($AE$1:AE162)+1,"")</f>
        <v/>
      </c>
      <c r="AF163" s="2">
        <f>IF(A163="coverage",MAX($AF$1:AF162)+1,"")</f>
        <v/>
      </c>
      <c r="AG163" s="2">
        <f>IF(A163="line",IF(COUNTIFS($B$1:B162,B163,$C$1:C162,C163,$A$1:A162,"line")=0,MAX($AG$1:AG162)+1,""),"")</f>
        <v/>
      </c>
    </row>
    <row r="164">
      <c r="W164" s="2">
        <f>IF(A164="line",IF(D164="quote",E164,G164)&amp;"|"&amp;LOWER(TRIM(K164)),"")</f>
        <v/>
      </c>
      <c r="X164" s="2">
        <f>IF(OR(O164="LABOUR",O164="INSTALL"),"LABOUR_ALL",IF(O164="","",O164))</f>
        <v/>
      </c>
      <c r="Y164" s="9">
        <f>IF(AND(A164="line",D164="quote"),SUMIFS($N$2:$N$500,$W$2:$W$500,W164,$D$2:$D$500,"invoice",$A$2:$A$500,"line"),"")</f>
        <v/>
      </c>
      <c r="Z164" s="2">
        <f>IF(AND(A164="line",D164="quote"),COUNTIFS($W$2:$W$500,W164,$D$2:$D$500,"invoice",$A$2:$A$500,"line"),"")</f>
        <v/>
      </c>
      <c r="AA164" s="2">
        <f>IF(AND(A164="line",D164="invoice"),COUNTIFS($W$2:$W$500,W164,$D$2:$D$500,"quote",$A$2:$A$500,"line"),"")</f>
        <v/>
      </c>
      <c r="AB164" s="2">
        <f>IF(A164&lt;&gt;"line","",IF(D164="quote",IF(Z164=0,"quote only",IF(ABS(Y164-N164)&gt;Settings!$B$2,"amount differs","match")),IF(AA164=0,"invoice only","match")))</f>
        <v/>
      </c>
      <c r="AC164" s="2">
        <f>IF(AND(A164="line",AB164&lt;&gt;"match",COUNTIFS($A$2:$A$500,"coverage",$B$2:$B$500,B164,$C$2:$C$500,C164,$D$2:$D$500,"invoice")&gt;0),MAX($AC$1:AC163)+1,"")</f>
        <v/>
      </c>
      <c r="AD164" s="2">
        <f>IF(A164&lt;&gt;"line","",IF(O164="UNMAPPED","no mapping rule",IF(P164="L","low confidence","")))</f>
        <v/>
      </c>
      <c r="AE164" s="2">
        <f>IF(AD164&lt;&gt;"",MAX($AE$1:AE163)+1,"")</f>
        <v/>
      </c>
      <c r="AF164" s="2">
        <f>IF(A164="coverage",MAX($AF$1:AF163)+1,"")</f>
        <v/>
      </c>
      <c r="AG164" s="2">
        <f>IF(A164="line",IF(COUNTIFS($B$1:B163,B164,$C$1:C163,C164,$A$1:A163,"line")=0,MAX($AG$1:AG163)+1,""),"")</f>
        <v/>
      </c>
    </row>
    <row r="165">
      <c r="W165" s="2">
        <f>IF(A165="line",IF(D165="quote",E165,G165)&amp;"|"&amp;LOWER(TRIM(K165)),"")</f>
        <v/>
      </c>
      <c r="X165" s="2">
        <f>IF(OR(O165="LABOUR",O165="INSTALL"),"LABOUR_ALL",IF(O165="","",O165))</f>
        <v/>
      </c>
      <c r="Y165" s="9">
        <f>IF(AND(A165="line",D165="quote"),SUMIFS($N$2:$N$500,$W$2:$W$500,W165,$D$2:$D$500,"invoice",$A$2:$A$500,"line"),"")</f>
        <v/>
      </c>
      <c r="Z165" s="2">
        <f>IF(AND(A165="line",D165="quote"),COUNTIFS($W$2:$W$500,W165,$D$2:$D$500,"invoice",$A$2:$A$500,"line"),"")</f>
        <v/>
      </c>
      <c r="AA165" s="2">
        <f>IF(AND(A165="line",D165="invoice"),COUNTIFS($W$2:$W$500,W165,$D$2:$D$500,"quote",$A$2:$A$500,"line"),"")</f>
        <v/>
      </c>
      <c r="AB165" s="2">
        <f>IF(A165&lt;&gt;"line","",IF(D165="quote",IF(Z165=0,"quote only",IF(ABS(Y165-N165)&gt;Settings!$B$2,"amount differs","match")),IF(AA165=0,"invoice only","match")))</f>
        <v/>
      </c>
      <c r="AC165" s="2">
        <f>IF(AND(A165="line",AB165&lt;&gt;"match",COUNTIFS($A$2:$A$500,"coverage",$B$2:$B$500,B165,$C$2:$C$500,C165,$D$2:$D$500,"invoice")&gt;0),MAX($AC$1:AC164)+1,"")</f>
        <v/>
      </c>
      <c r="AD165" s="2">
        <f>IF(A165&lt;&gt;"line","",IF(O165="UNMAPPED","no mapping rule",IF(P165="L","low confidence","")))</f>
        <v/>
      </c>
      <c r="AE165" s="2">
        <f>IF(AD165&lt;&gt;"",MAX($AE$1:AE164)+1,"")</f>
        <v/>
      </c>
      <c r="AF165" s="2">
        <f>IF(A165="coverage",MAX($AF$1:AF164)+1,"")</f>
        <v/>
      </c>
      <c r="AG165" s="2">
        <f>IF(A165="line",IF(COUNTIFS($B$1:B164,B165,$C$1:C164,C165,$A$1:A164,"line")=0,MAX($AG$1:AG164)+1,""),"")</f>
        <v/>
      </c>
    </row>
    <row r="166">
      <c r="W166" s="2">
        <f>IF(A166="line",IF(D166="quote",E166,G166)&amp;"|"&amp;LOWER(TRIM(K166)),"")</f>
        <v/>
      </c>
      <c r="X166" s="2">
        <f>IF(OR(O166="LABOUR",O166="INSTALL"),"LABOUR_ALL",IF(O166="","",O166))</f>
        <v/>
      </c>
      <c r="Y166" s="9">
        <f>IF(AND(A166="line",D166="quote"),SUMIFS($N$2:$N$500,$W$2:$W$500,W166,$D$2:$D$500,"invoice",$A$2:$A$500,"line"),"")</f>
        <v/>
      </c>
      <c r="Z166" s="2">
        <f>IF(AND(A166="line",D166="quote"),COUNTIFS($W$2:$W$500,W166,$D$2:$D$500,"invoice",$A$2:$A$500,"line"),"")</f>
        <v/>
      </c>
      <c r="AA166" s="2">
        <f>IF(AND(A166="line",D166="invoice"),COUNTIFS($W$2:$W$500,W166,$D$2:$D$500,"quote",$A$2:$A$500,"line"),"")</f>
        <v/>
      </c>
      <c r="AB166" s="2">
        <f>IF(A166&lt;&gt;"line","",IF(D166="quote",IF(Z166=0,"quote only",IF(ABS(Y166-N166)&gt;Settings!$B$2,"amount differs","match")),IF(AA166=0,"invoice only","match")))</f>
        <v/>
      </c>
      <c r="AC166" s="2">
        <f>IF(AND(A166="line",AB166&lt;&gt;"match",COUNTIFS($A$2:$A$500,"coverage",$B$2:$B$500,B166,$C$2:$C$500,C166,$D$2:$D$500,"invoice")&gt;0),MAX($AC$1:AC165)+1,"")</f>
        <v/>
      </c>
      <c r="AD166" s="2">
        <f>IF(A166&lt;&gt;"line","",IF(O166="UNMAPPED","no mapping rule",IF(P166="L","low confidence","")))</f>
        <v/>
      </c>
      <c r="AE166" s="2">
        <f>IF(AD166&lt;&gt;"",MAX($AE$1:AE165)+1,"")</f>
        <v/>
      </c>
      <c r="AF166" s="2">
        <f>IF(A166="coverage",MAX($AF$1:AF165)+1,"")</f>
        <v/>
      </c>
      <c r="AG166" s="2">
        <f>IF(A166="line",IF(COUNTIFS($B$1:B165,B166,$C$1:C165,C166,$A$1:A165,"line")=0,MAX($AG$1:AG165)+1,""),"")</f>
        <v/>
      </c>
    </row>
    <row r="167">
      <c r="W167" s="2">
        <f>IF(A167="line",IF(D167="quote",E167,G167)&amp;"|"&amp;LOWER(TRIM(K167)),"")</f>
        <v/>
      </c>
      <c r="X167" s="2">
        <f>IF(OR(O167="LABOUR",O167="INSTALL"),"LABOUR_ALL",IF(O167="","",O167))</f>
        <v/>
      </c>
      <c r="Y167" s="9">
        <f>IF(AND(A167="line",D167="quote"),SUMIFS($N$2:$N$500,$W$2:$W$500,W167,$D$2:$D$500,"invoice",$A$2:$A$500,"line"),"")</f>
        <v/>
      </c>
      <c r="Z167" s="2">
        <f>IF(AND(A167="line",D167="quote"),COUNTIFS($W$2:$W$500,W167,$D$2:$D$500,"invoice",$A$2:$A$500,"line"),"")</f>
        <v/>
      </c>
      <c r="AA167" s="2">
        <f>IF(AND(A167="line",D167="invoice"),COUNTIFS($W$2:$W$500,W167,$D$2:$D$500,"quote",$A$2:$A$500,"line"),"")</f>
        <v/>
      </c>
      <c r="AB167" s="2">
        <f>IF(A167&lt;&gt;"line","",IF(D167="quote",IF(Z167=0,"quote only",IF(ABS(Y167-N167)&gt;Settings!$B$2,"amount differs","match")),IF(AA167=0,"invoice only","match")))</f>
        <v/>
      </c>
      <c r="AC167" s="2">
        <f>IF(AND(A167="line",AB167&lt;&gt;"match",COUNTIFS($A$2:$A$500,"coverage",$B$2:$B$500,B167,$C$2:$C$500,C167,$D$2:$D$500,"invoice")&gt;0),MAX($AC$1:AC166)+1,"")</f>
        <v/>
      </c>
      <c r="AD167" s="2">
        <f>IF(A167&lt;&gt;"line","",IF(O167="UNMAPPED","no mapping rule",IF(P167="L","low confidence","")))</f>
        <v/>
      </c>
      <c r="AE167" s="2">
        <f>IF(AD167&lt;&gt;"",MAX($AE$1:AE166)+1,"")</f>
        <v/>
      </c>
      <c r="AF167" s="2">
        <f>IF(A167="coverage",MAX($AF$1:AF166)+1,"")</f>
        <v/>
      </c>
      <c r="AG167" s="2">
        <f>IF(A167="line",IF(COUNTIFS($B$1:B166,B167,$C$1:C166,C167,$A$1:A166,"line")=0,MAX($AG$1:AG166)+1,""),"")</f>
        <v/>
      </c>
    </row>
    <row r="168">
      <c r="W168" s="2">
        <f>IF(A168="line",IF(D168="quote",E168,G168)&amp;"|"&amp;LOWER(TRIM(K168)),"")</f>
        <v/>
      </c>
      <c r="X168" s="2">
        <f>IF(OR(O168="LABOUR",O168="INSTALL"),"LABOUR_ALL",IF(O168="","",O168))</f>
        <v/>
      </c>
      <c r="Y168" s="9">
        <f>IF(AND(A168="line",D168="quote"),SUMIFS($N$2:$N$500,$W$2:$W$500,W168,$D$2:$D$500,"invoice",$A$2:$A$500,"line"),"")</f>
        <v/>
      </c>
      <c r="Z168" s="2">
        <f>IF(AND(A168="line",D168="quote"),COUNTIFS($W$2:$W$500,W168,$D$2:$D$500,"invoice",$A$2:$A$500,"line"),"")</f>
        <v/>
      </c>
      <c r="AA168" s="2">
        <f>IF(AND(A168="line",D168="invoice"),COUNTIFS($W$2:$W$500,W168,$D$2:$D$500,"quote",$A$2:$A$500,"line"),"")</f>
        <v/>
      </c>
      <c r="AB168" s="2">
        <f>IF(A168&lt;&gt;"line","",IF(D168="quote",IF(Z168=0,"quote only",IF(ABS(Y168-N168)&gt;Settings!$B$2,"amount differs","match")),IF(AA168=0,"invoice only","match")))</f>
        <v/>
      </c>
      <c r="AC168" s="2">
        <f>IF(AND(A168="line",AB168&lt;&gt;"match",COUNTIFS($A$2:$A$500,"coverage",$B$2:$B$500,B168,$C$2:$C$500,C168,$D$2:$D$500,"invoice")&gt;0),MAX($AC$1:AC167)+1,"")</f>
        <v/>
      </c>
      <c r="AD168" s="2">
        <f>IF(A168&lt;&gt;"line","",IF(O168="UNMAPPED","no mapping rule",IF(P168="L","low confidence","")))</f>
        <v/>
      </c>
      <c r="AE168" s="2">
        <f>IF(AD168&lt;&gt;"",MAX($AE$1:AE167)+1,"")</f>
        <v/>
      </c>
      <c r="AF168" s="2">
        <f>IF(A168="coverage",MAX($AF$1:AF167)+1,"")</f>
        <v/>
      </c>
      <c r="AG168" s="2">
        <f>IF(A168="line",IF(COUNTIFS($B$1:B167,B168,$C$1:C167,C168,$A$1:A167,"line")=0,MAX($AG$1:AG167)+1,""),"")</f>
        <v/>
      </c>
    </row>
    <row r="169">
      <c r="W169" s="2">
        <f>IF(A169="line",IF(D169="quote",E169,G169)&amp;"|"&amp;LOWER(TRIM(K169)),"")</f>
        <v/>
      </c>
      <c r="X169" s="2">
        <f>IF(OR(O169="LABOUR",O169="INSTALL"),"LABOUR_ALL",IF(O169="","",O169))</f>
        <v/>
      </c>
      <c r="Y169" s="9">
        <f>IF(AND(A169="line",D169="quote"),SUMIFS($N$2:$N$500,$W$2:$W$500,W169,$D$2:$D$500,"invoice",$A$2:$A$500,"line"),"")</f>
        <v/>
      </c>
      <c r="Z169" s="2">
        <f>IF(AND(A169="line",D169="quote"),COUNTIFS($W$2:$W$500,W169,$D$2:$D$500,"invoice",$A$2:$A$500,"line"),"")</f>
        <v/>
      </c>
      <c r="AA169" s="2">
        <f>IF(AND(A169="line",D169="invoice"),COUNTIFS($W$2:$W$500,W169,$D$2:$D$500,"quote",$A$2:$A$500,"line"),"")</f>
        <v/>
      </c>
      <c r="AB169" s="2">
        <f>IF(A169&lt;&gt;"line","",IF(D169="quote",IF(Z169=0,"quote only",IF(ABS(Y169-N169)&gt;Settings!$B$2,"amount differs","match")),IF(AA169=0,"invoice only","match")))</f>
        <v/>
      </c>
      <c r="AC169" s="2">
        <f>IF(AND(A169="line",AB169&lt;&gt;"match",COUNTIFS($A$2:$A$500,"coverage",$B$2:$B$500,B169,$C$2:$C$500,C169,$D$2:$D$500,"invoice")&gt;0),MAX($AC$1:AC168)+1,"")</f>
        <v/>
      </c>
      <c r="AD169" s="2">
        <f>IF(A169&lt;&gt;"line","",IF(O169="UNMAPPED","no mapping rule",IF(P169="L","low confidence","")))</f>
        <v/>
      </c>
      <c r="AE169" s="2">
        <f>IF(AD169&lt;&gt;"",MAX($AE$1:AE168)+1,"")</f>
        <v/>
      </c>
      <c r="AF169" s="2">
        <f>IF(A169="coverage",MAX($AF$1:AF168)+1,"")</f>
        <v/>
      </c>
      <c r="AG169" s="2">
        <f>IF(A169="line",IF(COUNTIFS($B$1:B168,B169,$C$1:C168,C169,$A$1:A168,"line")=0,MAX($AG$1:AG168)+1,""),"")</f>
        <v/>
      </c>
    </row>
    <row r="170">
      <c r="W170" s="2">
        <f>IF(A170="line",IF(D170="quote",E170,G170)&amp;"|"&amp;LOWER(TRIM(K170)),"")</f>
        <v/>
      </c>
      <c r="X170" s="2">
        <f>IF(OR(O170="LABOUR",O170="INSTALL"),"LABOUR_ALL",IF(O170="","",O170))</f>
        <v/>
      </c>
      <c r="Y170" s="9">
        <f>IF(AND(A170="line",D170="quote"),SUMIFS($N$2:$N$500,$W$2:$W$500,W170,$D$2:$D$500,"invoice",$A$2:$A$500,"line"),"")</f>
        <v/>
      </c>
      <c r="Z170" s="2">
        <f>IF(AND(A170="line",D170="quote"),COUNTIFS($W$2:$W$500,W170,$D$2:$D$500,"invoice",$A$2:$A$500,"line"),"")</f>
        <v/>
      </c>
      <c r="AA170" s="2">
        <f>IF(AND(A170="line",D170="invoice"),COUNTIFS($W$2:$W$500,W170,$D$2:$D$500,"quote",$A$2:$A$500,"line"),"")</f>
        <v/>
      </c>
      <c r="AB170" s="2">
        <f>IF(A170&lt;&gt;"line","",IF(D170="quote",IF(Z170=0,"quote only",IF(ABS(Y170-N170)&gt;Settings!$B$2,"amount differs","match")),IF(AA170=0,"invoice only","match")))</f>
        <v/>
      </c>
      <c r="AC170" s="2">
        <f>IF(AND(A170="line",AB170&lt;&gt;"match",COUNTIFS($A$2:$A$500,"coverage",$B$2:$B$500,B170,$C$2:$C$500,C170,$D$2:$D$500,"invoice")&gt;0),MAX($AC$1:AC169)+1,"")</f>
        <v/>
      </c>
      <c r="AD170" s="2">
        <f>IF(A170&lt;&gt;"line","",IF(O170="UNMAPPED","no mapping rule",IF(P170="L","low confidence","")))</f>
        <v/>
      </c>
      <c r="AE170" s="2">
        <f>IF(AD170&lt;&gt;"",MAX($AE$1:AE169)+1,"")</f>
        <v/>
      </c>
      <c r="AF170" s="2">
        <f>IF(A170="coverage",MAX($AF$1:AF169)+1,"")</f>
        <v/>
      </c>
      <c r="AG170" s="2">
        <f>IF(A170="line",IF(COUNTIFS($B$1:B169,B170,$C$1:C169,C170,$A$1:A169,"line")=0,MAX($AG$1:AG169)+1,""),"")</f>
        <v/>
      </c>
    </row>
    <row r="171">
      <c r="W171" s="2">
        <f>IF(A171="line",IF(D171="quote",E171,G171)&amp;"|"&amp;LOWER(TRIM(K171)),"")</f>
        <v/>
      </c>
      <c r="X171" s="2">
        <f>IF(OR(O171="LABOUR",O171="INSTALL"),"LABOUR_ALL",IF(O171="","",O171))</f>
        <v/>
      </c>
      <c r="Y171" s="9">
        <f>IF(AND(A171="line",D171="quote"),SUMIFS($N$2:$N$500,$W$2:$W$500,W171,$D$2:$D$500,"invoice",$A$2:$A$500,"line"),"")</f>
        <v/>
      </c>
      <c r="Z171" s="2">
        <f>IF(AND(A171="line",D171="quote"),COUNTIFS($W$2:$W$500,W171,$D$2:$D$500,"invoice",$A$2:$A$500,"line"),"")</f>
        <v/>
      </c>
      <c r="AA171" s="2">
        <f>IF(AND(A171="line",D171="invoice"),COUNTIFS($W$2:$W$500,W171,$D$2:$D$500,"quote",$A$2:$A$500,"line"),"")</f>
        <v/>
      </c>
      <c r="AB171" s="2">
        <f>IF(A171&lt;&gt;"line","",IF(D171="quote",IF(Z171=0,"quote only",IF(ABS(Y171-N171)&gt;Settings!$B$2,"amount differs","match")),IF(AA171=0,"invoice only","match")))</f>
        <v/>
      </c>
      <c r="AC171" s="2">
        <f>IF(AND(A171="line",AB171&lt;&gt;"match",COUNTIFS($A$2:$A$500,"coverage",$B$2:$B$500,B171,$C$2:$C$500,C171,$D$2:$D$500,"invoice")&gt;0),MAX($AC$1:AC170)+1,"")</f>
        <v/>
      </c>
      <c r="AD171" s="2">
        <f>IF(A171&lt;&gt;"line","",IF(O171="UNMAPPED","no mapping rule",IF(P171="L","low confidence","")))</f>
        <v/>
      </c>
      <c r="AE171" s="2">
        <f>IF(AD171&lt;&gt;"",MAX($AE$1:AE170)+1,"")</f>
        <v/>
      </c>
      <c r="AF171" s="2">
        <f>IF(A171="coverage",MAX($AF$1:AF170)+1,"")</f>
        <v/>
      </c>
      <c r="AG171" s="2">
        <f>IF(A171="line",IF(COUNTIFS($B$1:B170,B171,$C$1:C170,C171,$A$1:A170,"line")=0,MAX($AG$1:AG170)+1,""),"")</f>
        <v/>
      </c>
    </row>
    <row r="172">
      <c r="W172" s="2">
        <f>IF(A172="line",IF(D172="quote",E172,G172)&amp;"|"&amp;LOWER(TRIM(K172)),"")</f>
        <v/>
      </c>
      <c r="X172" s="2">
        <f>IF(OR(O172="LABOUR",O172="INSTALL"),"LABOUR_ALL",IF(O172="","",O172))</f>
        <v/>
      </c>
      <c r="Y172" s="9">
        <f>IF(AND(A172="line",D172="quote"),SUMIFS($N$2:$N$500,$W$2:$W$500,W172,$D$2:$D$500,"invoice",$A$2:$A$500,"line"),"")</f>
        <v/>
      </c>
      <c r="Z172" s="2">
        <f>IF(AND(A172="line",D172="quote"),COUNTIFS($W$2:$W$500,W172,$D$2:$D$500,"invoice",$A$2:$A$500,"line"),"")</f>
        <v/>
      </c>
      <c r="AA172" s="2">
        <f>IF(AND(A172="line",D172="invoice"),COUNTIFS($W$2:$W$500,W172,$D$2:$D$500,"quote",$A$2:$A$500,"line"),"")</f>
        <v/>
      </c>
      <c r="AB172" s="2">
        <f>IF(A172&lt;&gt;"line","",IF(D172="quote",IF(Z172=0,"quote only",IF(ABS(Y172-N172)&gt;Settings!$B$2,"amount differs","match")),IF(AA172=0,"invoice only","match")))</f>
        <v/>
      </c>
      <c r="AC172" s="2">
        <f>IF(AND(A172="line",AB172&lt;&gt;"match",COUNTIFS($A$2:$A$500,"coverage",$B$2:$B$500,B172,$C$2:$C$500,C172,$D$2:$D$500,"invoice")&gt;0),MAX($AC$1:AC171)+1,"")</f>
        <v/>
      </c>
      <c r="AD172" s="2">
        <f>IF(A172&lt;&gt;"line","",IF(O172="UNMAPPED","no mapping rule",IF(P172="L","low confidence","")))</f>
        <v/>
      </c>
      <c r="AE172" s="2">
        <f>IF(AD172&lt;&gt;"",MAX($AE$1:AE171)+1,"")</f>
        <v/>
      </c>
      <c r="AF172" s="2">
        <f>IF(A172="coverage",MAX($AF$1:AF171)+1,"")</f>
        <v/>
      </c>
      <c r="AG172" s="2">
        <f>IF(A172="line",IF(COUNTIFS($B$1:B171,B172,$C$1:C171,C172,$A$1:A171,"line")=0,MAX($AG$1:AG171)+1,""),"")</f>
        <v/>
      </c>
    </row>
    <row r="173">
      <c r="W173" s="2">
        <f>IF(A173="line",IF(D173="quote",E173,G173)&amp;"|"&amp;LOWER(TRIM(K173)),"")</f>
        <v/>
      </c>
      <c r="X173" s="2">
        <f>IF(OR(O173="LABOUR",O173="INSTALL"),"LABOUR_ALL",IF(O173="","",O173))</f>
        <v/>
      </c>
      <c r="Y173" s="9">
        <f>IF(AND(A173="line",D173="quote"),SUMIFS($N$2:$N$500,$W$2:$W$500,W173,$D$2:$D$500,"invoice",$A$2:$A$500,"line"),"")</f>
        <v/>
      </c>
      <c r="Z173" s="2">
        <f>IF(AND(A173="line",D173="quote"),COUNTIFS($W$2:$W$500,W173,$D$2:$D$500,"invoice",$A$2:$A$500,"line"),"")</f>
        <v/>
      </c>
      <c r="AA173" s="2">
        <f>IF(AND(A173="line",D173="invoice"),COUNTIFS($W$2:$W$500,W173,$D$2:$D$500,"quote",$A$2:$A$500,"line"),"")</f>
        <v/>
      </c>
      <c r="AB173" s="2">
        <f>IF(A173&lt;&gt;"line","",IF(D173="quote",IF(Z173=0,"quote only",IF(ABS(Y173-N173)&gt;Settings!$B$2,"amount differs","match")),IF(AA173=0,"invoice only","match")))</f>
        <v/>
      </c>
      <c r="AC173" s="2">
        <f>IF(AND(A173="line",AB173&lt;&gt;"match",COUNTIFS($A$2:$A$500,"coverage",$B$2:$B$500,B173,$C$2:$C$500,C173,$D$2:$D$500,"invoice")&gt;0),MAX($AC$1:AC172)+1,"")</f>
        <v/>
      </c>
      <c r="AD173" s="2">
        <f>IF(A173&lt;&gt;"line","",IF(O173="UNMAPPED","no mapping rule",IF(P173="L","low confidence","")))</f>
        <v/>
      </c>
      <c r="AE173" s="2">
        <f>IF(AD173&lt;&gt;"",MAX($AE$1:AE172)+1,"")</f>
        <v/>
      </c>
      <c r="AF173" s="2">
        <f>IF(A173="coverage",MAX($AF$1:AF172)+1,"")</f>
        <v/>
      </c>
      <c r="AG173" s="2">
        <f>IF(A173="line",IF(COUNTIFS($B$1:B172,B173,$C$1:C172,C173,$A$1:A172,"line")=0,MAX($AG$1:AG172)+1,""),"")</f>
        <v/>
      </c>
    </row>
    <row r="174">
      <c r="W174" s="2">
        <f>IF(A174="line",IF(D174="quote",E174,G174)&amp;"|"&amp;LOWER(TRIM(K174)),"")</f>
        <v/>
      </c>
      <c r="X174" s="2">
        <f>IF(OR(O174="LABOUR",O174="INSTALL"),"LABOUR_ALL",IF(O174="","",O174))</f>
        <v/>
      </c>
      <c r="Y174" s="9">
        <f>IF(AND(A174="line",D174="quote"),SUMIFS($N$2:$N$500,$W$2:$W$500,W174,$D$2:$D$500,"invoice",$A$2:$A$500,"line"),"")</f>
        <v/>
      </c>
      <c r="Z174" s="2">
        <f>IF(AND(A174="line",D174="quote"),COUNTIFS($W$2:$W$500,W174,$D$2:$D$500,"invoice",$A$2:$A$500,"line"),"")</f>
        <v/>
      </c>
      <c r="AA174" s="2">
        <f>IF(AND(A174="line",D174="invoice"),COUNTIFS($W$2:$W$500,W174,$D$2:$D$500,"quote",$A$2:$A$500,"line"),"")</f>
        <v/>
      </c>
      <c r="AB174" s="2">
        <f>IF(A174&lt;&gt;"line","",IF(D174="quote",IF(Z174=0,"quote only",IF(ABS(Y174-N174)&gt;Settings!$B$2,"amount differs","match")),IF(AA174=0,"invoice only","match")))</f>
        <v/>
      </c>
      <c r="AC174" s="2">
        <f>IF(AND(A174="line",AB174&lt;&gt;"match",COUNTIFS($A$2:$A$500,"coverage",$B$2:$B$500,B174,$C$2:$C$500,C174,$D$2:$D$500,"invoice")&gt;0),MAX($AC$1:AC173)+1,"")</f>
        <v/>
      </c>
      <c r="AD174" s="2">
        <f>IF(A174&lt;&gt;"line","",IF(O174="UNMAPPED","no mapping rule",IF(P174="L","low confidence","")))</f>
        <v/>
      </c>
      <c r="AE174" s="2">
        <f>IF(AD174&lt;&gt;"",MAX($AE$1:AE173)+1,"")</f>
        <v/>
      </c>
      <c r="AF174" s="2">
        <f>IF(A174="coverage",MAX($AF$1:AF173)+1,"")</f>
        <v/>
      </c>
      <c r="AG174" s="2">
        <f>IF(A174="line",IF(COUNTIFS($B$1:B173,B174,$C$1:C173,C174,$A$1:A173,"line")=0,MAX($AG$1:AG173)+1,""),"")</f>
        <v/>
      </c>
    </row>
    <row r="175">
      <c r="W175" s="2">
        <f>IF(A175="line",IF(D175="quote",E175,G175)&amp;"|"&amp;LOWER(TRIM(K175)),"")</f>
        <v/>
      </c>
      <c r="X175" s="2">
        <f>IF(OR(O175="LABOUR",O175="INSTALL"),"LABOUR_ALL",IF(O175="","",O175))</f>
        <v/>
      </c>
      <c r="Y175" s="9">
        <f>IF(AND(A175="line",D175="quote"),SUMIFS($N$2:$N$500,$W$2:$W$500,W175,$D$2:$D$500,"invoice",$A$2:$A$500,"line"),"")</f>
        <v/>
      </c>
      <c r="Z175" s="2">
        <f>IF(AND(A175="line",D175="quote"),COUNTIFS($W$2:$W$500,W175,$D$2:$D$500,"invoice",$A$2:$A$500,"line"),"")</f>
        <v/>
      </c>
      <c r="AA175" s="2">
        <f>IF(AND(A175="line",D175="invoice"),COUNTIFS($W$2:$W$500,W175,$D$2:$D$500,"quote",$A$2:$A$500,"line"),"")</f>
        <v/>
      </c>
      <c r="AB175" s="2">
        <f>IF(A175&lt;&gt;"line","",IF(D175="quote",IF(Z175=0,"quote only",IF(ABS(Y175-N175)&gt;Settings!$B$2,"amount differs","match")),IF(AA175=0,"invoice only","match")))</f>
        <v/>
      </c>
      <c r="AC175" s="2">
        <f>IF(AND(A175="line",AB175&lt;&gt;"match",COUNTIFS($A$2:$A$500,"coverage",$B$2:$B$500,B175,$C$2:$C$500,C175,$D$2:$D$500,"invoice")&gt;0),MAX($AC$1:AC174)+1,"")</f>
        <v/>
      </c>
      <c r="AD175" s="2">
        <f>IF(A175&lt;&gt;"line","",IF(O175="UNMAPPED","no mapping rule",IF(P175="L","low confidence","")))</f>
        <v/>
      </c>
      <c r="AE175" s="2">
        <f>IF(AD175&lt;&gt;"",MAX($AE$1:AE174)+1,"")</f>
        <v/>
      </c>
      <c r="AF175" s="2">
        <f>IF(A175="coverage",MAX($AF$1:AF174)+1,"")</f>
        <v/>
      </c>
      <c r="AG175" s="2">
        <f>IF(A175="line",IF(COUNTIFS($B$1:B174,B175,$C$1:C174,C175,$A$1:A174,"line")=0,MAX($AG$1:AG174)+1,""),"")</f>
        <v/>
      </c>
    </row>
    <row r="176">
      <c r="W176" s="2">
        <f>IF(A176="line",IF(D176="quote",E176,G176)&amp;"|"&amp;LOWER(TRIM(K176)),"")</f>
        <v/>
      </c>
      <c r="X176" s="2">
        <f>IF(OR(O176="LABOUR",O176="INSTALL"),"LABOUR_ALL",IF(O176="","",O176))</f>
        <v/>
      </c>
      <c r="Y176" s="9">
        <f>IF(AND(A176="line",D176="quote"),SUMIFS($N$2:$N$500,$W$2:$W$500,W176,$D$2:$D$500,"invoice",$A$2:$A$500,"line"),"")</f>
        <v/>
      </c>
      <c r="Z176" s="2">
        <f>IF(AND(A176="line",D176="quote"),COUNTIFS($W$2:$W$500,W176,$D$2:$D$500,"invoice",$A$2:$A$500,"line"),"")</f>
        <v/>
      </c>
      <c r="AA176" s="2">
        <f>IF(AND(A176="line",D176="invoice"),COUNTIFS($W$2:$W$500,W176,$D$2:$D$500,"quote",$A$2:$A$500,"line"),"")</f>
        <v/>
      </c>
      <c r="AB176" s="2">
        <f>IF(A176&lt;&gt;"line","",IF(D176="quote",IF(Z176=0,"quote only",IF(ABS(Y176-N176)&gt;Settings!$B$2,"amount differs","match")),IF(AA176=0,"invoice only","match")))</f>
        <v/>
      </c>
      <c r="AC176" s="2">
        <f>IF(AND(A176="line",AB176&lt;&gt;"match",COUNTIFS($A$2:$A$500,"coverage",$B$2:$B$500,B176,$C$2:$C$500,C176,$D$2:$D$500,"invoice")&gt;0),MAX($AC$1:AC175)+1,"")</f>
        <v/>
      </c>
      <c r="AD176" s="2">
        <f>IF(A176&lt;&gt;"line","",IF(O176="UNMAPPED","no mapping rule",IF(P176="L","low confidence","")))</f>
        <v/>
      </c>
      <c r="AE176" s="2">
        <f>IF(AD176&lt;&gt;"",MAX($AE$1:AE175)+1,"")</f>
        <v/>
      </c>
      <c r="AF176" s="2">
        <f>IF(A176="coverage",MAX($AF$1:AF175)+1,"")</f>
        <v/>
      </c>
      <c r="AG176" s="2">
        <f>IF(A176="line",IF(COUNTIFS($B$1:B175,B176,$C$1:C175,C176,$A$1:A175,"line")=0,MAX($AG$1:AG175)+1,""),"")</f>
        <v/>
      </c>
    </row>
    <row r="177">
      <c r="W177" s="2">
        <f>IF(A177="line",IF(D177="quote",E177,G177)&amp;"|"&amp;LOWER(TRIM(K177)),"")</f>
        <v/>
      </c>
      <c r="X177" s="2">
        <f>IF(OR(O177="LABOUR",O177="INSTALL"),"LABOUR_ALL",IF(O177="","",O177))</f>
        <v/>
      </c>
      <c r="Y177" s="9">
        <f>IF(AND(A177="line",D177="quote"),SUMIFS($N$2:$N$500,$W$2:$W$500,W177,$D$2:$D$500,"invoice",$A$2:$A$500,"line"),"")</f>
        <v/>
      </c>
      <c r="Z177" s="2">
        <f>IF(AND(A177="line",D177="quote"),COUNTIFS($W$2:$W$500,W177,$D$2:$D$500,"invoice",$A$2:$A$500,"line"),"")</f>
        <v/>
      </c>
      <c r="AA177" s="2">
        <f>IF(AND(A177="line",D177="invoice"),COUNTIFS($W$2:$W$500,W177,$D$2:$D$500,"quote",$A$2:$A$500,"line"),"")</f>
        <v/>
      </c>
      <c r="AB177" s="2">
        <f>IF(A177&lt;&gt;"line","",IF(D177="quote",IF(Z177=0,"quote only",IF(ABS(Y177-N177)&gt;Settings!$B$2,"amount differs","match")),IF(AA177=0,"invoice only","match")))</f>
        <v/>
      </c>
      <c r="AC177" s="2">
        <f>IF(AND(A177="line",AB177&lt;&gt;"match",COUNTIFS($A$2:$A$500,"coverage",$B$2:$B$500,B177,$C$2:$C$500,C177,$D$2:$D$500,"invoice")&gt;0),MAX($AC$1:AC176)+1,"")</f>
        <v/>
      </c>
      <c r="AD177" s="2">
        <f>IF(A177&lt;&gt;"line","",IF(O177="UNMAPPED","no mapping rule",IF(P177="L","low confidence","")))</f>
        <v/>
      </c>
      <c r="AE177" s="2">
        <f>IF(AD177&lt;&gt;"",MAX($AE$1:AE176)+1,"")</f>
        <v/>
      </c>
      <c r="AF177" s="2">
        <f>IF(A177="coverage",MAX($AF$1:AF176)+1,"")</f>
        <v/>
      </c>
      <c r="AG177" s="2">
        <f>IF(A177="line",IF(COUNTIFS($B$1:B176,B177,$C$1:C176,C177,$A$1:A176,"line")=0,MAX($AG$1:AG176)+1,""),"")</f>
        <v/>
      </c>
    </row>
    <row r="178">
      <c r="W178" s="2">
        <f>IF(A178="line",IF(D178="quote",E178,G178)&amp;"|"&amp;LOWER(TRIM(K178)),"")</f>
        <v/>
      </c>
      <c r="X178" s="2">
        <f>IF(OR(O178="LABOUR",O178="INSTALL"),"LABOUR_ALL",IF(O178="","",O178))</f>
        <v/>
      </c>
      <c r="Y178" s="9">
        <f>IF(AND(A178="line",D178="quote"),SUMIFS($N$2:$N$500,$W$2:$W$500,W178,$D$2:$D$500,"invoice",$A$2:$A$500,"line"),"")</f>
        <v/>
      </c>
      <c r="Z178" s="2">
        <f>IF(AND(A178="line",D178="quote"),COUNTIFS($W$2:$W$500,W178,$D$2:$D$500,"invoice",$A$2:$A$500,"line"),"")</f>
        <v/>
      </c>
      <c r="AA178" s="2">
        <f>IF(AND(A178="line",D178="invoice"),COUNTIFS($W$2:$W$500,W178,$D$2:$D$500,"quote",$A$2:$A$500,"line"),"")</f>
        <v/>
      </c>
      <c r="AB178" s="2">
        <f>IF(A178&lt;&gt;"line","",IF(D178="quote",IF(Z178=0,"quote only",IF(ABS(Y178-N178)&gt;Settings!$B$2,"amount differs","match")),IF(AA178=0,"invoice only","match")))</f>
        <v/>
      </c>
      <c r="AC178" s="2">
        <f>IF(AND(A178="line",AB178&lt;&gt;"match",COUNTIFS($A$2:$A$500,"coverage",$B$2:$B$500,B178,$C$2:$C$500,C178,$D$2:$D$500,"invoice")&gt;0),MAX($AC$1:AC177)+1,"")</f>
        <v/>
      </c>
      <c r="AD178" s="2">
        <f>IF(A178&lt;&gt;"line","",IF(O178="UNMAPPED","no mapping rule",IF(P178="L","low confidence","")))</f>
        <v/>
      </c>
      <c r="AE178" s="2">
        <f>IF(AD178&lt;&gt;"",MAX($AE$1:AE177)+1,"")</f>
        <v/>
      </c>
      <c r="AF178" s="2">
        <f>IF(A178="coverage",MAX($AF$1:AF177)+1,"")</f>
        <v/>
      </c>
      <c r="AG178" s="2">
        <f>IF(A178="line",IF(COUNTIFS($B$1:B177,B178,$C$1:C177,C178,$A$1:A177,"line")=0,MAX($AG$1:AG177)+1,""),"")</f>
        <v/>
      </c>
    </row>
    <row r="179">
      <c r="W179" s="2">
        <f>IF(A179="line",IF(D179="quote",E179,G179)&amp;"|"&amp;LOWER(TRIM(K179)),"")</f>
        <v/>
      </c>
      <c r="X179" s="2">
        <f>IF(OR(O179="LABOUR",O179="INSTALL"),"LABOUR_ALL",IF(O179="","",O179))</f>
        <v/>
      </c>
      <c r="Y179" s="9">
        <f>IF(AND(A179="line",D179="quote"),SUMIFS($N$2:$N$500,$W$2:$W$500,W179,$D$2:$D$500,"invoice",$A$2:$A$500,"line"),"")</f>
        <v/>
      </c>
      <c r="Z179" s="2">
        <f>IF(AND(A179="line",D179="quote"),COUNTIFS($W$2:$W$500,W179,$D$2:$D$500,"invoice",$A$2:$A$500,"line"),"")</f>
        <v/>
      </c>
      <c r="AA179" s="2">
        <f>IF(AND(A179="line",D179="invoice"),COUNTIFS($W$2:$W$500,W179,$D$2:$D$500,"quote",$A$2:$A$500,"line"),"")</f>
        <v/>
      </c>
      <c r="AB179" s="2">
        <f>IF(A179&lt;&gt;"line","",IF(D179="quote",IF(Z179=0,"quote only",IF(ABS(Y179-N179)&gt;Settings!$B$2,"amount differs","match")),IF(AA179=0,"invoice only","match")))</f>
        <v/>
      </c>
      <c r="AC179" s="2">
        <f>IF(AND(A179="line",AB179&lt;&gt;"match",COUNTIFS($A$2:$A$500,"coverage",$B$2:$B$500,B179,$C$2:$C$500,C179,$D$2:$D$500,"invoice")&gt;0),MAX($AC$1:AC178)+1,"")</f>
        <v/>
      </c>
      <c r="AD179" s="2">
        <f>IF(A179&lt;&gt;"line","",IF(O179="UNMAPPED","no mapping rule",IF(P179="L","low confidence","")))</f>
        <v/>
      </c>
      <c r="AE179" s="2">
        <f>IF(AD179&lt;&gt;"",MAX($AE$1:AE178)+1,"")</f>
        <v/>
      </c>
      <c r="AF179" s="2">
        <f>IF(A179="coverage",MAX($AF$1:AF178)+1,"")</f>
        <v/>
      </c>
      <c r="AG179" s="2">
        <f>IF(A179="line",IF(COUNTIFS($B$1:B178,B179,$C$1:C178,C179,$A$1:A178,"line")=0,MAX($AG$1:AG178)+1,""),"")</f>
        <v/>
      </c>
    </row>
    <row r="180">
      <c r="W180" s="2">
        <f>IF(A180="line",IF(D180="quote",E180,G180)&amp;"|"&amp;LOWER(TRIM(K180)),"")</f>
        <v/>
      </c>
      <c r="X180" s="2">
        <f>IF(OR(O180="LABOUR",O180="INSTALL"),"LABOUR_ALL",IF(O180="","",O180))</f>
        <v/>
      </c>
      <c r="Y180" s="9">
        <f>IF(AND(A180="line",D180="quote"),SUMIFS($N$2:$N$500,$W$2:$W$500,W180,$D$2:$D$500,"invoice",$A$2:$A$500,"line"),"")</f>
        <v/>
      </c>
      <c r="Z180" s="2">
        <f>IF(AND(A180="line",D180="quote"),COUNTIFS($W$2:$W$500,W180,$D$2:$D$500,"invoice",$A$2:$A$500,"line"),"")</f>
        <v/>
      </c>
      <c r="AA180" s="2">
        <f>IF(AND(A180="line",D180="invoice"),COUNTIFS($W$2:$W$500,W180,$D$2:$D$500,"quote",$A$2:$A$500,"line"),"")</f>
        <v/>
      </c>
      <c r="AB180" s="2">
        <f>IF(A180&lt;&gt;"line","",IF(D180="quote",IF(Z180=0,"quote only",IF(ABS(Y180-N180)&gt;Settings!$B$2,"amount differs","match")),IF(AA180=0,"invoice only","match")))</f>
        <v/>
      </c>
      <c r="AC180" s="2">
        <f>IF(AND(A180="line",AB180&lt;&gt;"match",COUNTIFS($A$2:$A$500,"coverage",$B$2:$B$500,B180,$C$2:$C$500,C180,$D$2:$D$500,"invoice")&gt;0),MAX($AC$1:AC179)+1,"")</f>
        <v/>
      </c>
      <c r="AD180" s="2">
        <f>IF(A180&lt;&gt;"line","",IF(O180="UNMAPPED","no mapping rule",IF(P180="L","low confidence","")))</f>
        <v/>
      </c>
      <c r="AE180" s="2">
        <f>IF(AD180&lt;&gt;"",MAX($AE$1:AE179)+1,"")</f>
        <v/>
      </c>
      <c r="AF180" s="2">
        <f>IF(A180="coverage",MAX($AF$1:AF179)+1,"")</f>
        <v/>
      </c>
      <c r="AG180" s="2">
        <f>IF(A180="line",IF(COUNTIFS($B$1:B179,B180,$C$1:C179,C180,$A$1:A179,"line")=0,MAX($AG$1:AG179)+1,""),"")</f>
        <v/>
      </c>
    </row>
    <row r="181">
      <c r="W181" s="2">
        <f>IF(A181="line",IF(D181="quote",E181,G181)&amp;"|"&amp;LOWER(TRIM(K181)),"")</f>
        <v/>
      </c>
      <c r="X181" s="2">
        <f>IF(OR(O181="LABOUR",O181="INSTALL"),"LABOUR_ALL",IF(O181="","",O181))</f>
        <v/>
      </c>
      <c r="Y181" s="9">
        <f>IF(AND(A181="line",D181="quote"),SUMIFS($N$2:$N$500,$W$2:$W$500,W181,$D$2:$D$500,"invoice",$A$2:$A$500,"line"),"")</f>
        <v/>
      </c>
      <c r="Z181" s="2">
        <f>IF(AND(A181="line",D181="quote"),COUNTIFS($W$2:$W$500,W181,$D$2:$D$500,"invoice",$A$2:$A$500,"line"),"")</f>
        <v/>
      </c>
      <c r="AA181" s="2">
        <f>IF(AND(A181="line",D181="invoice"),COUNTIFS($W$2:$W$500,W181,$D$2:$D$500,"quote",$A$2:$A$500,"line"),"")</f>
        <v/>
      </c>
      <c r="AB181" s="2">
        <f>IF(A181&lt;&gt;"line","",IF(D181="quote",IF(Z181=0,"quote only",IF(ABS(Y181-N181)&gt;Settings!$B$2,"amount differs","match")),IF(AA181=0,"invoice only","match")))</f>
        <v/>
      </c>
      <c r="AC181" s="2">
        <f>IF(AND(A181="line",AB181&lt;&gt;"match",COUNTIFS($A$2:$A$500,"coverage",$B$2:$B$500,B181,$C$2:$C$500,C181,$D$2:$D$500,"invoice")&gt;0),MAX($AC$1:AC180)+1,"")</f>
        <v/>
      </c>
      <c r="AD181" s="2">
        <f>IF(A181&lt;&gt;"line","",IF(O181="UNMAPPED","no mapping rule",IF(P181="L","low confidence","")))</f>
        <v/>
      </c>
      <c r="AE181" s="2">
        <f>IF(AD181&lt;&gt;"",MAX($AE$1:AE180)+1,"")</f>
        <v/>
      </c>
      <c r="AF181" s="2">
        <f>IF(A181="coverage",MAX($AF$1:AF180)+1,"")</f>
        <v/>
      </c>
      <c r="AG181" s="2">
        <f>IF(A181="line",IF(COUNTIFS($B$1:B180,B181,$C$1:C180,C181,$A$1:A180,"line")=0,MAX($AG$1:AG180)+1,""),"")</f>
        <v/>
      </c>
    </row>
    <row r="182">
      <c r="W182" s="2">
        <f>IF(A182="line",IF(D182="quote",E182,G182)&amp;"|"&amp;LOWER(TRIM(K182)),"")</f>
        <v/>
      </c>
      <c r="X182" s="2">
        <f>IF(OR(O182="LABOUR",O182="INSTALL"),"LABOUR_ALL",IF(O182="","",O182))</f>
        <v/>
      </c>
      <c r="Y182" s="9">
        <f>IF(AND(A182="line",D182="quote"),SUMIFS($N$2:$N$500,$W$2:$W$500,W182,$D$2:$D$500,"invoice",$A$2:$A$500,"line"),"")</f>
        <v/>
      </c>
      <c r="Z182" s="2">
        <f>IF(AND(A182="line",D182="quote"),COUNTIFS($W$2:$W$500,W182,$D$2:$D$500,"invoice",$A$2:$A$500,"line"),"")</f>
        <v/>
      </c>
      <c r="AA182" s="2">
        <f>IF(AND(A182="line",D182="invoice"),COUNTIFS($W$2:$W$500,W182,$D$2:$D$500,"quote",$A$2:$A$500,"line"),"")</f>
        <v/>
      </c>
      <c r="AB182" s="2">
        <f>IF(A182&lt;&gt;"line","",IF(D182="quote",IF(Z182=0,"quote only",IF(ABS(Y182-N182)&gt;Settings!$B$2,"amount differs","match")),IF(AA182=0,"invoice only","match")))</f>
        <v/>
      </c>
      <c r="AC182" s="2">
        <f>IF(AND(A182="line",AB182&lt;&gt;"match",COUNTIFS($A$2:$A$500,"coverage",$B$2:$B$500,B182,$C$2:$C$500,C182,$D$2:$D$500,"invoice")&gt;0),MAX($AC$1:AC181)+1,"")</f>
        <v/>
      </c>
      <c r="AD182" s="2">
        <f>IF(A182&lt;&gt;"line","",IF(O182="UNMAPPED","no mapping rule",IF(P182="L","low confidence","")))</f>
        <v/>
      </c>
      <c r="AE182" s="2">
        <f>IF(AD182&lt;&gt;"",MAX($AE$1:AE181)+1,"")</f>
        <v/>
      </c>
      <c r="AF182" s="2">
        <f>IF(A182="coverage",MAX($AF$1:AF181)+1,"")</f>
        <v/>
      </c>
      <c r="AG182" s="2">
        <f>IF(A182="line",IF(COUNTIFS($B$1:B181,B182,$C$1:C181,C182,$A$1:A181,"line")=0,MAX($AG$1:AG181)+1,""),"")</f>
        <v/>
      </c>
    </row>
    <row r="183">
      <c r="W183" s="2">
        <f>IF(A183="line",IF(D183="quote",E183,G183)&amp;"|"&amp;LOWER(TRIM(K183)),"")</f>
        <v/>
      </c>
      <c r="X183" s="2">
        <f>IF(OR(O183="LABOUR",O183="INSTALL"),"LABOUR_ALL",IF(O183="","",O183))</f>
        <v/>
      </c>
      <c r="Y183" s="9">
        <f>IF(AND(A183="line",D183="quote"),SUMIFS($N$2:$N$500,$W$2:$W$500,W183,$D$2:$D$500,"invoice",$A$2:$A$500,"line"),"")</f>
        <v/>
      </c>
      <c r="Z183" s="2">
        <f>IF(AND(A183="line",D183="quote"),COUNTIFS($W$2:$W$500,W183,$D$2:$D$500,"invoice",$A$2:$A$500,"line"),"")</f>
        <v/>
      </c>
      <c r="AA183" s="2">
        <f>IF(AND(A183="line",D183="invoice"),COUNTIFS($W$2:$W$500,W183,$D$2:$D$500,"quote",$A$2:$A$500,"line"),"")</f>
        <v/>
      </c>
      <c r="AB183" s="2">
        <f>IF(A183&lt;&gt;"line","",IF(D183="quote",IF(Z183=0,"quote only",IF(ABS(Y183-N183)&gt;Settings!$B$2,"amount differs","match")),IF(AA183=0,"invoice only","match")))</f>
        <v/>
      </c>
      <c r="AC183" s="2">
        <f>IF(AND(A183="line",AB183&lt;&gt;"match",COUNTIFS($A$2:$A$500,"coverage",$B$2:$B$500,B183,$C$2:$C$500,C183,$D$2:$D$500,"invoice")&gt;0),MAX($AC$1:AC182)+1,"")</f>
        <v/>
      </c>
      <c r="AD183" s="2">
        <f>IF(A183&lt;&gt;"line","",IF(O183="UNMAPPED","no mapping rule",IF(P183="L","low confidence","")))</f>
        <v/>
      </c>
      <c r="AE183" s="2">
        <f>IF(AD183&lt;&gt;"",MAX($AE$1:AE182)+1,"")</f>
        <v/>
      </c>
      <c r="AF183" s="2">
        <f>IF(A183="coverage",MAX($AF$1:AF182)+1,"")</f>
        <v/>
      </c>
      <c r="AG183" s="2">
        <f>IF(A183="line",IF(COUNTIFS($B$1:B182,B183,$C$1:C182,C183,$A$1:A182,"line")=0,MAX($AG$1:AG182)+1,""),"")</f>
        <v/>
      </c>
    </row>
    <row r="184">
      <c r="W184" s="2">
        <f>IF(A184="line",IF(D184="quote",E184,G184)&amp;"|"&amp;LOWER(TRIM(K184)),"")</f>
        <v/>
      </c>
      <c r="X184" s="2">
        <f>IF(OR(O184="LABOUR",O184="INSTALL"),"LABOUR_ALL",IF(O184="","",O184))</f>
        <v/>
      </c>
      <c r="Y184" s="9">
        <f>IF(AND(A184="line",D184="quote"),SUMIFS($N$2:$N$500,$W$2:$W$500,W184,$D$2:$D$500,"invoice",$A$2:$A$500,"line"),"")</f>
        <v/>
      </c>
      <c r="Z184" s="2">
        <f>IF(AND(A184="line",D184="quote"),COUNTIFS($W$2:$W$500,W184,$D$2:$D$500,"invoice",$A$2:$A$500,"line"),"")</f>
        <v/>
      </c>
      <c r="AA184" s="2">
        <f>IF(AND(A184="line",D184="invoice"),COUNTIFS($W$2:$W$500,W184,$D$2:$D$500,"quote",$A$2:$A$500,"line"),"")</f>
        <v/>
      </c>
      <c r="AB184" s="2">
        <f>IF(A184&lt;&gt;"line","",IF(D184="quote",IF(Z184=0,"quote only",IF(ABS(Y184-N184)&gt;Settings!$B$2,"amount differs","match")),IF(AA184=0,"invoice only","match")))</f>
        <v/>
      </c>
      <c r="AC184" s="2">
        <f>IF(AND(A184="line",AB184&lt;&gt;"match",COUNTIFS($A$2:$A$500,"coverage",$B$2:$B$500,B184,$C$2:$C$500,C184,$D$2:$D$500,"invoice")&gt;0),MAX($AC$1:AC183)+1,"")</f>
        <v/>
      </c>
      <c r="AD184" s="2">
        <f>IF(A184&lt;&gt;"line","",IF(O184="UNMAPPED","no mapping rule",IF(P184="L","low confidence","")))</f>
        <v/>
      </c>
      <c r="AE184" s="2">
        <f>IF(AD184&lt;&gt;"",MAX($AE$1:AE183)+1,"")</f>
        <v/>
      </c>
      <c r="AF184" s="2">
        <f>IF(A184="coverage",MAX($AF$1:AF183)+1,"")</f>
        <v/>
      </c>
      <c r="AG184" s="2">
        <f>IF(A184="line",IF(COUNTIFS($B$1:B183,B184,$C$1:C183,C184,$A$1:A183,"line")=0,MAX($AG$1:AG183)+1,""),"")</f>
        <v/>
      </c>
    </row>
    <row r="185">
      <c r="W185" s="2">
        <f>IF(A185="line",IF(D185="quote",E185,G185)&amp;"|"&amp;LOWER(TRIM(K185)),"")</f>
        <v/>
      </c>
      <c r="X185" s="2">
        <f>IF(OR(O185="LABOUR",O185="INSTALL"),"LABOUR_ALL",IF(O185="","",O185))</f>
        <v/>
      </c>
      <c r="Y185" s="9">
        <f>IF(AND(A185="line",D185="quote"),SUMIFS($N$2:$N$500,$W$2:$W$500,W185,$D$2:$D$500,"invoice",$A$2:$A$500,"line"),"")</f>
        <v/>
      </c>
      <c r="Z185" s="2">
        <f>IF(AND(A185="line",D185="quote"),COUNTIFS($W$2:$W$500,W185,$D$2:$D$500,"invoice",$A$2:$A$500,"line"),"")</f>
        <v/>
      </c>
      <c r="AA185" s="2">
        <f>IF(AND(A185="line",D185="invoice"),COUNTIFS($W$2:$W$500,W185,$D$2:$D$500,"quote",$A$2:$A$500,"line"),"")</f>
        <v/>
      </c>
      <c r="AB185" s="2">
        <f>IF(A185&lt;&gt;"line","",IF(D185="quote",IF(Z185=0,"quote only",IF(ABS(Y185-N185)&gt;Settings!$B$2,"amount differs","match")),IF(AA185=0,"invoice only","match")))</f>
        <v/>
      </c>
      <c r="AC185" s="2">
        <f>IF(AND(A185="line",AB185&lt;&gt;"match",COUNTIFS($A$2:$A$500,"coverage",$B$2:$B$500,B185,$C$2:$C$500,C185,$D$2:$D$500,"invoice")&gt;0),MAX($AC$1:AC184)+1,"")</f>
        <v/>
      </c>
      <c r="AD185" s="2">
        <f>IF(A185&lt;&gt;"line","",IF(O185="UNMAPPED","no mapping rule",IF(P185="L","low confidence","")))</f>
        <v/>
      </c>
      <c r="AE185" s="2">
        <f>IF(AD185&lt;&gt;"",MAX($AE$1:AE184)+1,"")</f>
        <v/>
      </c>
      <c r="AF185" s="2">
        <f>IF(A185="coverage",MAX($AF$1:AF184)+1,"")</f>
        <v/>
      </c>
      <c r="AG185" s="2">
        <f>IF(A185="line",IF(COUNTIFS($B$1:B184,B185,$C$1:C184,C185,$A$1:A184,"line")=0,MAX($AG$1:AG184)+1,""),"")</f>
        <v/>
      </c>
    </row>
    <row r="186">
      <c r="W186" s="2">
        <f>IF(A186="line",IF(D186="quote",E186,G186)&amp;"|"&amp;LOWER(TRIM(K186)),"")</f>
        <v/>
      </c>
      <c r="X186" s="2">
        <f>IF(OR(O186="LABOUR",O186="INSTALL"),"LABOUR_ALL",IF(O186="","",O186))</f>
        <v/>
      </c>
      <c r="Y186" s="9">
        <f>IF(AND(A186="line",D186="quote"),SUMIFS($N$2:$N$500,$W$2:$W$500,W186,$D$2:$D$500,"invoice",$A$2:$A$500,"line"),"")</f>
        <v/>
      </c>
      <c r="Z186" s="2">
        <f>IF(AND(A186="line",D186="quote"),COUNTIFS($W$2:$W$500,W186,$D$2:$D$500,"invoice",$A$2:$A$500,"line"),"")</f>
        <v/>
      </c>
      <c r="AA186" s="2">
        <f>IF(AND(A186="line",D186="invoice"),COUNTIFS($W$2:$W$500,W186,$D$2:$D$500,"quote",$A$2:$A$500,"line"),"")</f>
        <v/>
      </c>
      <c r="AB186" s="2">
        <f>IF(A186&lt;&gt;"line","",IF(D186="quote",IF(Z186=0,"quote only",IF(ABS(Y186-N186)&gt;Settings!$B$2,"amount differs","match")),IF(AA186=0,"invoice only","match")))</f>
        <v/>
      </c>
      <c r="AC186" s="2">
        <f>IF(AND(A186="line",AB186&lt;&gt;"match",COUNTIFS($A$2:$A$500,"coverage",$B$2:$B$500,B186,$C$2:$C$500,C186,$D$2:$D$500,"invoice")&gt;0),MAX($AC$1:AC185)+1,"")</f>
        <v/>
      </c>
      <c r="AD186" s="2">
        <f>IF(A186&lt;&gt;"line","",IF(O186="UNMAPPED","no mapping rule",IF(P186="L","low confidence","")))</f>
        <v/>
      </c>
      <c r="AE186" s="2">
        <f>IF(AD186&lt;&gt;"",MAX($AE$1:AE185)+1,"")</f>
        <v/>
      </c>
      <c r="AF186" s="2">
        <f>IF(A186="coverage",MAX($AF$1:AF185)+1,"")</f>
        <v/>
      </c>
      <c r="AG186" s="2">
        <f>IF(A186="line",IF(COUNTIFS($B$1:B185,B186,$C$1:C185,C186,$A$1:A185,"line")=0,MAX($AG$1:AG185)+1,""),"")</f>
        <v/>
      </c>
    </row>
    <row r="187">
      <c r="W187" s="2">
        <f>IF(A187="line",IF(D187="quote",E187,G187)&amp;"|"&amp;LOWER(TRIM(K187)),"")</f>
        <v/>
      </c>
      <c r="X187" s="2">
        <f>IF(OR(O187="LABOUR",O187="INSTALL"),"LABOUR_ALL",IF(O187="","",O187))</f>
        <v/>
      </c>
      <c r="Y187" s="9">
        <f>IF(AND(A187="line",D187="quote"),SUMIFS($N$2:$N$500,$W$2:$W$500,W187,$D$2:$D$500,"invoice",$A$2:$A$500,"line"),"")</f>
        <v/>
      </c>
      <c r="Z187" s="2">
        <f>IF(AND(A187="line",D187="quote"),COUNTIFS($W$2:$W$500,W187,$D$2:$D$500,"invoice",$A$2:$A$500,"line"),"")</f>
        <v/>
      </c>
      <c r="AA187" s="2">
        <f>IF(AND(A187="line",D187="invoice"),COUNTIFS($W$2:$W$500,W187,$D$2:$D$500,"quote",$A$2:$A$500,"line"),"")</f>
        <v/>
      </c>
      <c r="AB187" s="2">
        <f>IF(A187&lt;&gt;"line","",IF(D187="quote",IF(Z187=0,"quote only",IF(ABS(Y187-N187)&gt;Settings!$B$2,"amount differs","match")),IF(AA187=0,"invoice only","match")))</f>
        <v/>
      </c>
      <c r="AC187" s="2">
        <f>IF(AND(A187="line",AB187&lt;&gt;"match",COUNTIFS($A$2:$A$500,"coverage",$B$2:$B$500,B187,$C$2:$C$500,C187,$D$2:$D$500,"invoice")&gt;0),MAX($AC$1:AC186)+1,"")</f>
        <v/>
      </c>
      <c r="AD187" s="2">
        <f>IF(A187&lt;&gt;"line","",IF(O187="UNMAPPED","no mapping rule",IF(P187="L","low confidence","")))</f>
        <v/>
      </c>
      <c r="AE187" s="2">
        <f>IF(AD187&lt;&gt;"",MAX($AE$1:AE186)+1,"")</f>
        <v/>
      </c>
      <c r="AF187" s="2">
        <f>IF(A187="coverage",MAX($AF$1:AF186)+1,"")</f>
        <v/>
      </c>
      <c r="AG187" s="2">
        <f>IF(A187="line",IF(COUNTIFS($B$1:B186,B187,$C$1:C186,C187,$A$1:A186,"line")=0,MAX($AG$1:AG186)+1,""),"")</f>
        <v/>
      </c>
    </row>
    <row r="188">
      <c r="W188" s="2">
        <f>IF(A188="line",IF(D188="quote",E188,G188)&amp;"|"&amp;LOWER(TRIM(K188)),"")</f>
        <v/>
      </c>
      <c r="X188" s="2">
        <f>IF(OR(O188="LABOUR",O188="INSTALL"),"LABOUR_ALL",IF(O188="","",O188))</f>
        <v/>
      </c>
      <c r="Y188" s="9">
        <f>IF(AND(A188="line",D188="quote"),SUMIFS($N$2:$N$500,$W$2:$W$500,W188,$D$2:$D$500,"invoice",$A$2:$A$500,"line"),"")</f>
        <v/>
      </c>
      <c r="Z188" s="2">
        <f>IF(AND(A188="line",D188="quote"),COUNTIFS($W$2:$W$500,W188,$D$2:$D$500,"invoice",$A$2:$A$500,"line"),"")</f>
        <v/>
      </c>
      <c r="AA188" s="2">
        <f>IF(AND(A188="line",D188="invoice"),COUNTIFS($W$2:$W$500,W188,$D$2:$D$500,"quote",$A$2:$A$500,"line"),"")</f>
        <v/>
      </c>
      <c r="AB188" s="2">
        <f>IF(A188&lt;&gt;"line","",IF(D188="quote",IF(Z188=0,"quote only",IF(ABS(Y188-N188)&gt;Settings!$B$2,"amount differs","match")),IF(AA188=0,"invoice only","match")))</f>
        <v/>
      </c>
      <c r="AC188" s="2">
        <f>IF(AND(A188="line",AB188&lt;&gt;"match",COUNTIFS($A$2:$A$500,"coverage",$B$2:$B$500,B188,$C$2:$C$500,C188,$D$2:$D$500,"invoice")&gt;0),MAX($AC$1:AC187)+1,"")</f>
        <v/>
      </c>
      <c r="AD188" s="2">
        <f>IF(A188&lt;&gt;"line","",IF(O188="UNMAPPED","no mapping rule",IF(P188="L","low confidence","")))</f>
        <v/>
      </c>
      <c r="AE188" s="2">
        <f>IF(AD188&lt;&gt;"",MAX($AE$1:AE187)+1,"")</f>
        <v/>
      </c>
      <c r="AF188" s="2">
        <f>IF(A188="coverage",MAX($AF$1:AF187)+1,"")</f>
        <v/>
      </c>
      <c r="AG188" s="2">
        <f>IF(A188="line",IF(COUNTIFS($B$1:B187,B188,$C$1:C187,C188,$A$1:A187,"line")=0,MAX($AG$1:AG187)+1,""),"")</f>
        <v/>
      </c>
    </row>
    <row r="189">
      <c r="W189" s="2">
        <f>IF(A189="line",IF(D189="quote",E189,G189)&amp;"|"&amp;LOWER(TRIM(K189)),"")</f>
        <v/>
      </c>
      <c r="X189" s="2">
        <f>IF(OR(O189="LABOUR",O189="INSTALL"),"LABOUR_ALL",IF(O189="","",O189))</f>
        <v/>
      </c>
      <c r="Y189" s="9">
        <f>IF(AND(A189="line",D189="quote"),SUMIFS($N$2:$N$500,$W$2:$W$500,W189,$D$2:$D$500,"invoice",$A$2:$A$500,"line"),"")</f>
        <v/>
      </c>
      <c r="Z189" s="2">
        <f>IF(AND(A189="line",D189="quote"),COUNTIFS($W$2:$W$500,W189,$D$2:$D$500,"invoice",$A$2:$A$500,"line"),"")</f>
        <v/>
      </c>
      <c r="AA189" s="2">
        <f>IF(AND(A189="line",D189="invoice"),COUNTIFS($W$2:$W$500,W189,$D$2:$D$500,"quote",$A$2:$A$500,"line"),"")</f>
        <v/>
      </c>
      <c r="AB189" s="2">
        <f>IF(A189&lt;&gt;"line","",IF(D189="quote",IF(Z189=0,"quote only",IF(ABS(Y189-N189)&gt;Settings!$B$2,"amount differs","match")),IF(AA189=0,"invoice only","match")))</f>
        <v/>
      </c>
      <c r="AC189" s="2">
        <f>IF(AND(A189="line",AB189&lt;&gt;"match",COUNTIFS($A$2:$A$500,"coverage",$B$2:$B$500,B189,$C$2:$C$500,C189,$D$2:$D$500,"invoice")&gt;0),MAX($AC$1:AC188)+1,"")</f>
        <v/>
      </c>
      <c r="AD189" s="2">
        <f>IF(A189&lt;&gt;"line","",IF(O189="UNMAPPED","no mapping rule",IF(P189="L","low confidence","")))</f>
        <v/>
      </c>
      <c r="AE189" s="2">
        <f>IF(AD189&lt;&gt;"",MAX($AE$1:AE188)+1,"")</f>
        <v/>
      </c>
      <c r="AF189" s="2">
        <f>IF(A189="coverage",MAX($AF$1:AF188)+1,"")</f>
        <v/>
      </c>
      <c r="AG189" s="2">
        <f>IF(A189="line",IF(COUNTIFS($B$1:B188,B189,$C$1:C188,C189,$A$1:A188,"line")=0,MAX($AG$1:AG188)+1,""),"")</f>
        <v/>
      </c>
    </row>
    <row r="190">
      <c r="W190" s="2">
        <f>IF(A190="line",IF(D190="quote",E190,G190)&amp;"|"&amp;LOWER(TRIM(K190)),"")</f>
        <v/>
      </c>
      <c r="X190" s="2">
        <f>IF(OR(O190="LABOUR",O190="INSTALL"),"LABOUR_ALL",IF(O190="","",O190))</f>
        <v/>
      </c>
      <c r="Y190" s="9">
        <f>IF(AND(A190="line",D190="quote"),SUMIFS($N$2:$N$500,$W$2:$W$500,W190,$D$2:$D$500,"invoice",$A$2:$A$500,"line"),"")</f>
        <v/>
      </c>
      <c r="Z190" s="2">
        <f>IF(AND(A190="line",D190="quote"),COUNTIFS($W$2:$W$500,W190,$D$2:$D$500,"invoice",$A$2:$A$500,"line"),"")</f>
        <v/>
      </c>
      <c r="AA190" s="2">
        <f>IF(AND(A190="line",D190="invoice"),COUNTIFS($W$2:$W$500,W190,$D$2:$D$500,"quote",$A$2:$A$500,"line"),"")</f>
        <v/>
      </c>
      <c r="AB190" s="2">
        <f>IF(A190&lt;&gt;"line","",IF(D190="quote",IF(Z190=0,"quote only",IF(ABS(Y190-N190)&gt;Settings!$B$2,"amount differs","match")),IF(AA190=0,"invoice only","match")))</f>
        <v/>
      </c>
      <c r="AC190" s="2">
        <f>IF(AND(A190="line",AB190&lt;&gt;"match",COUNTIFS($A$2:$A$500,"coverage",$B$2:$B$500,B190,$C$2:$C$500,C190,$D$2:$D$500,"invoice")&gt;0),MAX($AC$1:AC189)+1,"")</f>
        <v/>
      </c>
      <c r="AD190" s="2">
        <f>IF(A190&lt;&gt;"line","",IF(O190="UNMAPPED","no mapping rule",IF(P190="L","low confidence","")))</f>
        <v/>
      </c>
      <c r="AE190" s="2">
        <f>IF(AD190&lt;&gt;"",MAX($AE$1:AE189)+1,"")</f>
        <v/>
      </c>
      <c r="AF190" s="2">
        <f>IF(A190="coverage",MAX($AF$1:AF189)+1,"")</f>
        <v/>
      </c>
      <c r="AG190" s="2">
        <f>IF(A190="line",IF(COUNTIFS($B$1:B189,B190,$C$1:C189,C190,$A$1:A189,"line")=0,MAX($AG$1:AG189)+1,""),"")</f>
        <v/>
      </c>
    </row>
    <row r="191">
      <c r="W191" s="2">
        <f>IF(A191="line",IF(D191="quote",E191,G191)&amp;"|"&amp;LOWER(TRIM(K191)),"")</f>
        <v/>
      </c>
      <c r="X191" s="2">
        <f>IF(OR(O191="LABOUR",O191="INSTALL"),"LABOUR_ALL",IF(O191="","",O191))</f>
        <v/>
      </c>
      <c r="Y191" s="9">
        <f>IF(AND(A191="line",D191="quote"),SUMIFS($N$2:$N$500,$W$2:$W$500,W191,$D$2:$D$500,"invoice",$A$2:$A$500,"line"),"")</f>
        <v/>
      </c>
      <c r="Z191" s="2">
        <f>IF(AND(A191="line",D191="quote"),COUNTIFS($W$2:$W$500,W191,$D$2:$D$500,"invoice",$A$2:$A$500,"line"),"")</f>
        <v/>
      </c>
      <c r="AA191" s="2">
        <f>IF(AND(A191="line",D191="invoice"),COUNTIFS($W$2:$W$500,W191,$D$2:$D$500,"quote",$A$2:$A$500,"line"),"")</f>
        <v/>
      </c>
      <c r="AB191" s="2">
        <f>IF(A191&lt;&gt;"line","",IF(D191="quote",IF(Z191=0,"quote only",IF(ABS(Y191-N191)&gt;Settings!$B$2,"amount differs","match")),IF(AA191=0,"invoice only","match")))</f>
        <v/>
      </c>
      <c r="AC191" s="2">
        <f>IF(AND(A191="line",AB191&lt;&gt;"match",COUNTIFS($A$2:$A$500,"coverage",$B$2:$B$500,B191,$C$2:$C$500,C191,$D$2:$D$500,"invoice")&gt;0),MAX($AC$1:AC190)+1,"")</f>
        <v/>
      </c>
      <c r="AD191" s="2">
        <f>IF(A191&lt;&gt;"line","",IF(O191="UNMAPPED","no mapping rule",IF(P191="L","low confidence","")))</f>
        <v/>
      </c>
      <c r="AE191" s="2">
        <f>IF(AD191&lt;&gt;"",MAX($AE$1:AE190)+1,"")</f>
        <v/>
      </c>
      <c r="AF191" s="2">
        <f>IF(A191="coverage",MAX($AF$1:AF190)+1,"")</f>
        <v/>
      </c>
      <c r="AG191" s="2">
        <f>IF(A191="line",IF(COUNTIFS($B$1:B190,B191,$C$1:C190,C191,$A$1:A190,"line")=0,MAX($AG$1:AG190)+1,""),"")</f>
        <v/>
      </c>
    </row>
    <row r="192">
      <c r="W192" s="2">
        <f>IF(A192="line",IF(D192="quote",E192,G192)&amp;"|"&amp;LOWER(TRIM(K192)),"")</f>
        <v/>
      </c>
      <c r="X192" s="2">
        <f>IF(OR(O192="LABOUR",O192="INSTALL"),"LABOUR_ALL",IF(O192="","",O192))</f>
        <v/>
      </c>
      <c r="Y192" s="9">
        <f>IF(AND(A192="line",D192="quote"),SUMIFS($N$2:$N$500,$W$2:$W$500,W192,$D$2:$D$500,"invoice",$A$2:$A$500,"line"),"")</f>
        <v/>
      </c>
      <c r="Z192" s="2">
        <f>IF(AND(A192="line",D192="quote"),COUNTIFS($W$2:$W$500,W192,$D$2:$D$500,"invoice",$A$2:$A$500,"line"),"")</f>
        <v/>
      </c>
      <c r="AA192" s="2">
        <f>IF(AND(A192="line",D192="invoice"),COUNTIFS($W$2:$W$500,W192,$D$2:$D$500,"quote",$A$2:$A$500,"line"),"")</f>
        <v/>
      </c>
      <c r="AB192" s="2">
        <f>IF(A192&lt;&gt;"line","",IF(D192="quote",IF(Z192=0,"quote only",IF(ABS(Y192-N192)&gt;Settings!$B$2,"amount differs","match")),IF(AA192=0,"invoice only","match")))</f>
        <v/>
      </c>
      <c r="AC192" s="2">
        <f>IF(AND(A192="line",AB192&lt;&gt;"match",COUNTIFS($A$2:$A$500,"coverage",$B$2:$B$500,B192,$C$2:$C$500,C192,$D$2:$D$500,"invoice")&gt;0),MAX($AC$1:AC191)+1,"")</f>
        <v/>
      </c>
      <c r="AD192" s="2">
        <f>IF(A192&lt;&gt;"line","",IF(O192="UNMAPPED","no mapping rule",IF(P192="L","low confidence","")))</f>
        <v/>
      </c>
      <c r="AE192" s="2">
        <f>IF(AD192&lt;&gt;"",MAX($AE$1:AE191)+1,"")</f>
        <v/>
      </c>
      <c r="AF192" s="2">
        <f>IF(A192="coverage",MAX($AF$1:AF191)+1,"")</f>
        <v/>
      </c>
      <c r="AG192" s="2">
        <f>IF(A192="line",IF(COUNTIFS($B$1:B191,B192,$C$1:C191,C192,$A$1:A191,"line")=0,MAX($AG$1:AG191)+1,""),"")</f>
        <v/>
      </c>
    </row>
    <row r="193">
      <c r="W193" s="2">
        <f>IF(A193="line",IF(D193="quote",E193,G193)&amp;"|"&amp;LOWER(TRIM(K193)),"")</f>
        <v/>
      </c>
      <c r="X193" s="2">
        <f>IF(OR(O193="LABOUR",O193="INSTALL"),"LABOUR_ALL",IF(O193="","",O193))</f>
        <v/>
      </c>
      <c r="Y193" s="9">
        <f>IF(AND(A193="line",D193="quote"),SUMIFS($N$2:$N$500,$W$2:$W$500,W193,$D$2:$D$500,"invoice",$A$2:$A$500,"line"),"")</f>
        <v/>
      </c>
      <c r="Z193" s="2">
        <f>IF(AND(A193="line",D193="quote"),COUNTIFS($W$2:$W$500,W193,$D$2:$D$500,"invoice",$A$2:$A$500,"line"),"")</f>
        <v/>
      </c>
      <c r="AA193" s="2">
        <f>IF(AND(A193="line",D193="invoice"),COUNTIFS($W$2:$W$500,W193,$D$2:$D$500,"quote",$A$2:$A$500,"line"),"")</f>
        <v/>
      </c>
      <c r="AB193" s="2">
        <f>IF(A193&lt;&gt;"line","",IF(D193="quote",IF(Z193=0,"quote only",IF(ABS(Y193-N193)&gt;Settings!$B$2,"amount differs","match")),IF(AA193=0,"invoice only","match")))</f>
        <v/>
      </c>
      <c r="AC193" s="2">
        <f>IF(AND(A193="line",AB193&lt;&gt;"match",COUNTIFS($A$2:$A$500,"coverage",$B$2:$B$500,B193,$C$2:$C$500,C193,$D$2:$D$500,"invoice")&gt;0),MAX($AC$1:AC192)+1,"")</f>
        <v/>
      </c>
      <c r="AD193" s="2">
        <f>IF(A193&lt;&gt;"line","",IF(O193="UNMAPPED","no mapping rule",IF(P193="L","low confidence","")))</f>
        <v/>
      </c>
      <c r="AE193" s="2">
        <f>IF(AD193&lt;&gt;"",MAX($AE$1:AE192)+1,"")</f>
        <v/>
      </c>
      <c r="AF193" s="2">
        <f>IF(A193="coverage",MAX($AF$1:AF192)+1,"")</f>
        <v/>
      </c>
      <c r="AG193" s="2">
        <f>IF(A193="line",IF(COUNTIFS($B$1:B192,B193,$C$1:C192,C193,$A$1:A192,"line")=0,MAX($AG$1:AG192)+1,""),"")</f>
        <v/>
      </c>
    </row>
    <row r="194">
      <c r="W194" s="2">
        <f>IF(A194="line",IF(D194="quote",E194,G194)&amp;"|"&amp;LOWER(TRIM(K194)),"")</f>
        <v/>
      </c>
      <c r="X194" s="2">
        <f>IF(OR(O194="LABOUR",O194="INSTALL"),"LABOUR_ALL",IF(O194="","",O194))</f>
        <v/>
      </c>
      <c r="Y194" s="9">
        <f>IF(AND(A194="line",D194="quote"),SUMIFS($N$2:$N$500,$W$2:$W$500,W194,$D$2:$D$500,"invoice",$A$2:$A$500,"line"),"")</f>
        <v/>
      </c>
      <c r="Z194" s="2">
        <f>IF(AND(A194="line",D194="quote"),COUNTIFS($W$2:$W$500,W194,$D$2:$D$500,"invoice",$A$2:$A$500,"line"),"")</f>
        <v/>
      </c>
      <c r="AA194" s="2">
        <f>IF(AND(A194="line",D194="invoice"),COUNTIFS($W$2:$W$500,W194,$D$2:$D$500,"quote",$A$2:$A$500,"line"),"")</f>
        <v/>
      </c>
      <c r="AB194" s="2">
        <f>IF(A194&lt;&gt;"line","",IF(D194="quote",IF(Z194=0,"quote only",IF(ABS(Y194-N194)&gt;Settings!$B$2,"amount differs","match")),IF(AA194=0,"invoice only","match")))</f>
        <v/>
      </c>
      <c r="AC194" s="2">
        <f>IF(AND(A194="line",AB194&lt;&gt;"match",COUNTIFS($A$2:$A$500,"coverage",$B$2:$B$500,B194,$C$2:$C$500,C194,$D$2:$D$500,"invoice")&gt;0),MAX($AC$1:AC193)+1,"")</f>
        <v/>
      </c>
      <c r="AD194" s="2">
        <f>IF(A194&lt;&gt;"line","",IF(O194="UNMAPPED","no mapping rule",IF(P194="L","low confidence","")))</f>
        <v/>
      </c>
      <c r="AE194" s="2">
        <f>IF(AD194&lt;&gt;"",MAX($AE$1:AE193)+1,"")</f>
        <v/>
      </c>
      <c r="AF194" s="2">
        <f>IF(A194="coverage",MAX($AF$1:AF193)+1,"")</f>
        <v/>
      </c>
      <c r="AG194" s="2">
        <f>IF(A194="line",IF(COUNTIFS($B$1:B193,B194,$C$1:C193,C194,$A$1:A193,"line")=0,MAX($AG$1:AG193)+1,""),"")</f>
        <v/>
      </c>
    </row>
    <row r="195">
      <c r="W195" s="2">
        <f>IF(A195="line",IF(D195="quote",E195,G195)&amp;"|"&amp;LOWER(TRIM(K195)),"")</f>
        <v/>
      </c>
      <c r="X195" s="2">
        <f>IF(OR(O195="LABOUR",O195="INSTALL"),"LABOUR_ALL",IF(O195="","",O195))</f>
        <v/>
      </c>
      <c r="Y195" s="9">
        <f>IF(AND(A195="line",D195="quote"),SUMIFS($N$2:$N$500,$W$2:$W$500,W195,$D$2:$D$500,"invoice",$A$2:$A$500,"line"),"")</f>
        <v/>
      </c>
      <c r="Z195" s="2">
        <f>IF(AND(A195="line",D195="quote"),COUNTIFS($W$2:$W$500,W195,$D$2:$D$500,"invoice",$A$2:$A$500,"line"),"")</f>
        <v/>
      </c>
      <c r="AA195" s="2">
        <f>IF(AND(A195="line",D195="invoice"),COUNTIFS($W$2:$W$500,W195,$D$2:$D$500,"quote",$A$2:$A$500,"line"),"")</f>
        <v/>
      </c>
      <c r="AB195" s="2">
        <f>IF(A195&lt;&gt;"line","",IF(D195="quote",IF(Z195=0,"quote only",IF(ABS(Y195-N195)&gt;Settings!$B$2,"amount differs","match")),IF(AA195=0,"invoice only","match")))</f>
        <v/>
      </c>
      <c r="AC195" s="2">
        <f>IF(AND(A195="line",AB195&lt;&gt;"match",COUNTIFS($A$2:$A$500,"coverage",$B$2:$B$500,B195,$C$2:$C$500,C195,$D$2:$D$500,"invoice")&gt;0),MAX($AC$1:AC194)+1,"")</f>
        <v/>
      </c>
      <c r="AD195" s="2">
        <f>IF(A195&lt;&gt;"line","",IF(O195="UNMAPPED","no mapping rule",IF(P195="L","low confidence","")))</f>
        <v/>
      </c>
      <c r="AE195" s="2">
        <f>IF(AD195&lt;&gt;"",MAX($AE$1:AE194)+1,"")</f>
        <v/>
      </c>
      <c r="AF195" s="2">
        <f>IF(A195="coverage",MAX($AF$1:AF194)+1,"")</f>
        <v/>
      </c>
      <c r="AG195" s="2">
        <f>IF(A195="line",IF(COUNTIFS($B$1:B194,B195,$C$1:C194,C195,$A$1:A194,"line")=0,MAX($AG$1:AG194)+1,""),"")</f>
        <v/>
      </c>
    </row>
    <row r="196">
      <c r="W196" s="2">
        <f>IF(A196="line",IF(D196="quote",E196,G196)&amp;"|"&amp;LOWER(TRIM(K196)),"")</f>
        <v/>
      </c>
      <c r="X196" s="2">
        <f>IF(OR(O196="LABOUR",O196="INSTALL"),"LABOUR_ALL",IF(O196="","",O196))</f>
        <v/>
      </c>
      <c r="Y196" s="9">
        <f>IF(AND(A196="line",D196="quote"),SUMIFS($N$2:$N$500,$W$2:$W$500,W196,$D$2:$D$500,"invoice",$A$2:$A$500,"line"),"")</f>
        <v/>
      </c>
      <c r="Z196" s="2">
        <f>IF(AND(A196="line",D196="quote"),COUNTIFS($W$2:$W$500,W196,$D$2:$D$500,"invoice",$A$2:$A$500,"line"),"")</f>
        <v/>
      </c>
      <c r="AA196" s="2">
        <f>IF(AND(A196="line",D196="invoice"),COUNTIFS($W$2:$W$500,W196,$D$2:$D$500,"quote",$A$2:$A$500,"line"),"")</f>
        <v/>
      </c>
      <c r="AB196" s="2">
        <f>IF(A196&lt;&gt;"line","",IF(D196="quote",IF(Z196=0,"quote only",IF(ABS(Y196-N196)&gt;Settings!$B$2,"amount differs","match")),IF(AA196=0,"invoice only","match")))</f>
        <v/>
      </c>
      <c r="AC196" s="2">
        <f>IF(AND(A196="line",AB196&lt;&gt;"match",COUNTIFS($A$2:$A$500,"coverage",$B$2:$B$500,B196,$C$2:$C$500,C196,$D$2:$D$500,"invoice")&gt;0),MAX($AC$1:AC195)+1,"")</f>
        <v/>
      </c>
      <c r="AD196" s="2">
        <f>IF(A196&lt;&gt;"line","",IF(O196="UNMAPPED","no mapping rule",IF(P196="L","low confidence","")))</f>
        <v/>
      </c>
      <c r="AE196" s="2">
        <f>IF(AD196&lt;&gt;"",MAX($AE$1:AE195)+1,"")</f>
        <v/>
      </c>
      <c r="AF196" s="2">
        <f>IF(A196="coverage",MAX($AF$1:AF195)+1,"")</f>
        <v/>
      </c>
      <c r="AG196" s="2">
        <f>IF(A196="line",IF(COUNTIFS($B$1:B195,B196,$C$1:C195,C196,$A$1:A195,"line")=0,MAX($AG$1:AG195)+1,""),"")</f>
        <v/>
      </c>
    </row>
    <row r="197">
      <c r="W197" s="2">
        <f>IF(A197="line",IF(D197="quote",E197,G197)&amp;"|"&amp;LOWER(TRIM(K197)),"")</f>
        <v/>
      </c>
      <c r="X197" s="2">
        <f>IF(OR(O197="LABOUR",O197="INSTALL"),"LABOUR_ALL",IF(O197="","",O197))</f>
        <v/>
      </c>
      <c r="Y197" s="9">
        <f>IF(AND(A197="line",D197="quote"),SUMIFS($N$2:$N$500,$W$2:$W$500,W197,$D$2:$D$500,"invoice",$A$2:$A$500,"line"),"")</f>
        <v/>
      </c>
      <c r="Z197" s="2">
        <f>IF(AND(A197="line",D197="quote"),COUNTIFS($W$2:$W$500,W197,$D$2:$D$500,"invoice",$A$2:$A$500,"line"),"")</f>
        <v/>
      </c>
      <c r="AA197" s="2">
        <f>IF(AND(A197="line",D197="invoice"),COUNTIFS($W$2:$W$500,W197,$D$2:$D$500,"quote",$A$2:$A$500,"line"),"")</f>
        <v/>
      </c>
      <c r="AB197" s="2">
        <f>IF(A197&lt;&gt;"line","",IF(D197="quote",IF(Z197=0,"quote only",IF(ABS(Y197-N197)&gt;Settings!$B$2,"amount differs","match")),IF(AA197=0,"invoice only","match")))</f>
        <v/>
      </c>
      <c r="AC197" s="2">
        <f>IF(AND(A197="line",AB197&lt;&gt;"match",COUNTIFS($A$2:$A$500,"coverage",$B$2:$B$500,B197,$C$2:$C$500,C197,$D$2:$D$500,"invoice")&gt;0),MAX($AC$1:AC196)+1,"")</f>
        <v/>
      </c>
      <c r="AD197" s="2">
        <f>IF(A197&lt;&gt;"line","",IF(O197="UNMAPPED","no mapping rule",IF(P197="L","low confidence","")))</f>
        <v/>
      </c>
      <c r="AE197" s="2">
        <f>IF(AD197&lt;&gt;"",MAX($AE$1:AE196)+1,"")</f>
        <v/>
      </c>
      <c r="AF197" s="2">
        <f>IF(A197="coverage",MAX($AF$1:AF196)+1,"")</f>
        <v/>
      </c>
      <c r="AG197" s="2">
        <f>IF(A197="line",IF(COUNTIFS($B$1:B196,B197,$C$1:C196,C197,$A$1:A196,"line")=0,MAX($AG$1:AG196)+1,""),"")</f>
        <v/>
      </c>
    </row>
    <row r="198">
      <c r="W198" s="2">
        <f>IF(A198="line",IF(D198="quote",E198,G198)&amp;"|"&amp;LOWER(TRIM(K198)),"")</f>
        <v/>
      </c>
      <c r="X198" s="2">
        <f>IF(OR(O198="LABOUR",O198="INSTALL"),"LABOUR_ALL",IF(O198="","",O198))</f>
        <v/>
      </c>
      <c r="Y198" s="9">
        <f>IF(AND(A198="line",D198="quote"),SUMIFS($N$2:$N$500,$W$2:$W$500,W198,$D$2:$D$500,"invoice",$A$2:$A$500,"line"),"")</f>
        <v/>
      </c>
      <c r="Z198" s="2">
        <f>IF(AND(A198="line",D198="quote"),COUNTIFS($W$2:$W$500,W198,$D$2:$D$500,"invoice",$A$2:$A$500,"line"),"")</f>
        <v/>
      </c>
      <c r="AA198" s="2">
        <f>IF(AND(A198="line",D198="invoice"),COUNTIFS($W$2:$W$500,W198,$D$2:$D$500,"quote",$A$2:$A$500,"line"),"")</f>
        <v/>
      </c>
      <c r="AB198" s="2">
        <f>IF(A198&lt;&gt;"line","",IF(D198="quote",IF(Z198=0,"quote only",IF(ABS(Y198-N198)&gt;Settings!$B$2,"amount differs","match")),IF(AA198=0,"invoice only","match")))</f>
        <v/>
      </c>
      <c r="AC198" s="2">
        <f>IF(AND(A198="line",AB198&lt;&gt;"match",COUNTIFS($A$2:$A$500,"coverage",$B$2:$B$500,B198,$C$2:$C$500,C198,$D$2:$D$500,"invoice")&gt;0),MAX($AC$1:AC197)+1,"")</f>
        <v/>
      </c>
      <c r="AD198" s="2">
        <f>IF(A198&lt;&gt;"line","",IF(O198="UNMAPPED","no mapping rule",IF(P198="L","low confidence","")))</f>
        <v/>
      </c>
      <c r="AE198" s="2">
        <f>IF(AD198&lt;&gt;"",MAX($AE$1:AE197)+1,"")</f>
        <v/>
      </c>
      <c r="AF198" s="2">
        <f>IF(A198="coverage",MAX($AF$1:AF197)+1,"")</f>
        <v/>
      </c>
      <c r="AG198" s="2">
        <f>IF(A198="line",IF(COUNTIFS($B$1:B197,B198,$C$1:C197,C198,$A$1:A197,"line")=0,MAX($AG$1:AG197)+1,""),"")</f>
        <v/>
      </c>
    </row>
    <row r="199">
      <c r="W199" s="2">
        <f>IF(A199="line",IF(D199="quote",E199,G199)&amp;"|"&amp;LOWER(TRIM(K199)),"")</f>
        <v/>
      </c>
      <c r="X199" s="2">
        <f>IF(OR(O199="LABOUR",O199="INSTALL"),"LABOUR_ALL",IF(O199="","",O199))</f>
        <v/>
      </c>
      <c r="Y199" s="9">
        <f>IF(AND(A199="line",D199="quote"),SUMIFS($N$2:$N$500,$W$2:$W$500,W199,$D$2:$D$500,"invoice",$A$2:$A$500,"line"),"")</f>
        <v/>
      </c>
      <c r="Z199" s="2">
        <f>IF(AND(A199="line",D199="quote"),COUNTIFS($W$2:$W$500,W199,$D$2:$D$500,"invoice",$A$2:$A$500,"line"),"")</f>
        <v/>
      </c>
      <c r="AA199" s="2">
        <f>IF(AND(A199="line",D199="invoice"),COUNTIFS($W$2:$W$500,W199,$D$2:$D$500,"quote",$A$2:$A$500,"line"),"")</f>
        <v/>
      </c>
      <c r="AB199" s="2">
        <f>IF(A199&lt;&gt;"line","",IF(D199="quote",IF(Z199=0,"quote only",IF(ABS(Y199-N199)&gt;Settings!$B$2,"amount differs","match")),IF(AA199=0,"invoice only","match")))</f>
        <v/>
      </c>
      <c r="AC199" s="2">
        <f>IF(AND(A199="line",AB199&lt;&gt;"match",COUNTIFS($A$2:$A$500,"coverage",$B$2:$B$500,B199,$C$2:$C$500,C199,$D$2:$D$500,"invoice")&gt;0),MAX($AC$1:AC198)+1,"")</f>
        <v/>
      </c>
      <c r="AD199" s="2">
        <f>IF(A199&lt;&gt;"line","",IF(O199="UNMAPPED","no mapping rule",IF(P199="L","low confidence","")))</f>
        <v/>
      </c>
      <c r="AE199" s="2">
        <f>IF(AD199&lt;&gt;"",MAX($AE$1:AE198)+1,"")</f>
        <v/>
      </c>
      <c r="AF199" s="2">
        <f>IF(A199="coverage",MAX($AF$1:AF198)+1,"")</f>
        <v/>
      </c>
      <c r="AG199" s="2">
        <f>IF(A199="line",IF(COUNTIFS($B$1:B198,B199,$C$1:C198,C199,$A$1:A198,"line")=0,MAX($AG$1:AG198)+1,""),"")</f>
        <v/>
      </c>
    </row>
    <row r="200">
      <c r="W200" s="2">
        <f>IF(A200="line",IF(D200="quote",E200,G200)&amp;"|"&amp;LOWER(TRIM(K200)),"")</f>
        <v/>
      </c>
      <c r="X200" s="2">
        <f>IF(OR(O200="LABOUR",O200="INSTALL"),"LABOUR_ALL",IF(O200="","",O200))</f>
        <v/>
      </c>
      <c r="Y200" s="9">
        <f>IF(AND(A200="line",D200="quote"),SUMIFS($N$2:$N$500,$W$2:$W$500,W200,$D$2:$D$500,"invoice",$A$2:$A$500,"line"),"")</f>
        <v/>
      </c>
      <c r="Z200" s="2">
        <f>IF(AND(A200="line",D200="quote"),COUNTIFS($W$2:$W$500,W200,$D$2:$D$500,"invoice",$A$2:$A$500,"line"),"")</f>
        <v/>
      </c>
      <c r="AA200" s="2">
        <f>IF(AND(A200="line",D200="invoice"),COUNTIFS($W$2:$W$500,W200,$D$2:$D$500,"quote",$A$2:$A$500,"line"),"")</f>
        <v/>
      </c>
      <c r="AB200" s="2">
        <f>IF(A200&lt;&gt;"line","",IF(D200="quote",IF(Z200=0,"quote only",IF(ABS(Y200-N200)&gt;Settings!$B$2,"amount differs","match")),IF(AA200=0,"invoice only","match")))</f>
        <v/>
      </c>
      <c r="AC200" s="2">
        <f>IF(AND(A200="line",AB200&lt;&gt;"match",COUNTIFS($A$2:$A$500,"coverage",$B$2:$B$500,B200,$C$2:$C$500,C200,$D$2:$D$500,"invoice")&gt;0),MAX($AC$1:AC199)+1,"")</f>
        <v/>
      </c>
      <c r="AD200" s="2">
        <f>IF(A200&lt;&gt;"line","",IF(O200="UNMAPPED","no mapping rule",IF(P200="L","low confidence","")))</f>
        <v/>
      </c>
      <c r="AE200" s="2">
        <f>IF(AD200&lt;&gt;"",MAX($AE$1:AE199)+1,"")</f>
        <v/>
      </c>
      <c r="AF200" s="2">
        <f>IF(A200="coverage",MAX($AF$1:AF199)+1,"")</f>
        <v/>
      </c>
      <c r="AG200" s="2">
        <f>IF(A200="line",IF(COUNTIFS($B$1:B199,B200,$C$1:C199,C200,$A$1:A199,"line")=0,MAX($AG$1:AG199)+1,""),"")</f>
        <v/>
      </c>
    </row>
    <row r="201">
      <c r="W201" s="2">
        <f>IF(A201="line",IF(D201="quote",E201,G201)&amp;"|"&amp;LOWER(TRIM(K201)),"")</f>
        <v/>
      </c>
      <c r="X201" s="2">
        <f>IF(OR(O201="LABOUR",O201="INSTALL"),"LABOUR_ALL",IF(O201="","",O201))</f>
        <v/>
      </c>
      <c r="Y201" s="9">
        <f>IF(AND(A201="line",D201="quote"),SUMIFS($N$2:$N$500,$W$2:$W$500,W201,$D$2:$D$500,"invoice",$A$2:$A$500,"line"),"")</f>
        <v/>
      </c>
      <c r="Z201" s="2">
        <f>IF(AND(A201="line",D201="quote"),COUNTIFS($W$2:$W$500,W201,$D$2:$D$500,"invoice",$A$2:$A$500,"line"),"")</f>
        <v/>
      </c>
      <c r="AA201" s="2">
        <f>IF(AND(A201="line",D201="invoice"),COUNTIFS($W$2:$W$500,W201,$D$2:$D$500,"quote",$A$2:$A$500,"line"),"")</f>
        <v/>
      </c>
      <c r="AB201" s="2">
        <f>IF(A201&lt;&gt;"line","",IF(D201="quote",IF(Z201=0,"quote only",IF(ABS(Y201-N201)&gt;Settings!$B$2,"amount differs","match")),IF(AA201=0,"invoice only","match")))</f>
        <v/>
      </c>
      <c r="AC201" s="2">
        <f>IF(AND(A201="line",AB201&lt;&gt;"match",COUNTIFS($A$2:$A$500,"coverage",$B$2:$B$500,B201,$C$2:$C$500,C201,$D$2:$D$500,"invoice")&gt;0),MAX($AC$1:AC200)+1,"")</f>
        <v/>
      </c>
      <c r="AD201" s="2">
        <f>IF(A201&lt;&gt;"line","",IF(O201="UNMAPPED","no mapping rule",IF(P201="L","low confidence","")))</f>
        <v/>
      </c>
      <c r="AE201" s="2">
        <f>IF(AD201&lt;&gt;"",MAX($AE$1:AE200)+1,"")</f>
        <v/>
      </c>
      <c r="AF201" s="2">
        <f>IF(A201="coverage",MAX($AF$1:AF200)+1,"")</f>
        <v/>
      </c>
      <c r="AG201" s="2">
        <f>IF(A201="line",IF(COUNTIFS($B$1:B200,B201,$C$1:C200,C201,$A$1:A200,"line")=0,MAX($AG$1:AG200)+1,""),"")</f>
        <v/>
      </c>
    </row>
    <row r="202">
      <c r="W202" s="2">
        <f>IF(A202="line",IF(D202="quote",E202,G202)&amp;"|"&amp;LOWER(TRIM(K202)),"")</f>
        <v/>
      </c>
      <c r="X202" s="2">
        <f>IF(OR(O202="LABOUR",O202="INSTALL"),"LABOUR_ALL",IF(O202="","",O202))</f>
        <v/>
      </c>
      <c r="Y202" s="9">
        <f>IF(AND(A202="line",D202="quote"),SUMIFS($N$2:$N$500,$W$2:$W$500,W202,$D$2:$D$500,"invoice",$A$2:$A$500,"line"),"")</f>
        <v/>
      </c>
      <c r="Z202" s="2">
        <f>IF(AND(A202="line",D202="quote"),COUNTIFS($W$2:$W$500,W202,$D$2:$D$500,"invoice",$A$2:$A$500,"line"),"")</f>
        <v/>
      </c>
      <c r="AA202" s="2">
        <f>IF(AND(A202="line",D202="invoice"),COUNTIFS($W$2:$W$500,W202,$D$2:$D$500,"quote",$A$2:$A$500,"line"),"")</f>
        <v/>
      </c>
      <c r="AB202" s="2">
        <f>IF(A202&lt;&gt;"line","",IF(D202="quote",IF(Z202=0,"quote only",IF(ABS(Y202-N202)&gt;Settings!$B$2,"amount differs","match")),IF(AA202=0,"invoice only","match")))</f>
        <v/>
      </c>
      <c r="AC202" s="2">
        <f>IF(AND(A202="line",AB202&lt;&gt;"match",COUNTIFS($A$2:$A$500,"coverage",$B$2:$B$500,B202,$C$2:$C$500,C202,$D$2:$D$500,"invoice")&gt;0),MAX($AC$1:AC201)+1,"")</f>
        <v/>
      </c>
      <c r="AD202" s="2">
        <f>IF(A202&lt;&gt;"line","",IF(O202="UNMAPPED","no mapping rule",IF(P202="L","low confidence","")))</f>
        <v/>
      </c>
      <c r="AE202" s="2">
        <f>IF(AD202&lt;&gt;"",MAX($AE$1:AE201)+1,"")</f>
        <v/>
      </c>
      <c r="AF202" s="2">
        <f>IF(A202="coverage",MAX($AF$1:AF201)+1,"")</f>
        <v/>
      </c>
      <c r="AG202" s="2">
        <f>IF(A202="line",IF(COUNTIFS($B$1:B201,B202,$C$1:C201,C202,$A$1:A201,"line")=0,MAX($AG$1:AG201)+1,""),"")</f>
        <v/>
      </c>
    </row>
    <row r="203">
      <c r="W203" s="2">
        <f>IF(A203="line",IF(D203="quote",E203,G203)&amp;"|"&amp;LOWER(TRIM(K203)),"")</f>
        <v/>
      </c>
      <c r="X203" s="2">
        <f>IF(OR(O203="LABOUR",O203="INSTALL"),"LABOUR_ALL",IF(O203="","",O203))</f>
        <v/>
      </c>
      <c r="Y203" s="9">
        <f>IF(AND(A203="line",D203="quote"),SUMIFS($N$2:$N$500,$W$2:$W$500,W203,$D$2:$D$500,"invoice",$A$2:$A$500,"line"),"")</f>
        <v/>
      </c>
      <c r="Z203" s="2">
        <f>IF(AND(A203="line",D203="quote"),COUNTIFS($W$2:$W$500,W203,$D$2:$D$500,"invoice",$A$2:$A$500,"line"),"")</f>
        <v/>
      </c>
      <c r="AA203" s="2">
        <f>IF(AND(A203="line",D203="invoice"),COUNTIFS($W$2:$W$500,W203,$D$2:$D$500,"quote",$A$2:$A$500,"line"),"")</f>
        <v/>
      </c>
      <c r="AB203" s="2">
        <f>IF(A203&lt;&gt;"line","",IF(D203="quote",IF(Z203=0,"quote only",IF(ABS(Y203-N203)&gt;Settings!$B$2,"amount differs","match")),IF(AA203=0,"invoice only","match")))</f>
        <v/>
      </c>
      <c r="AC203" s="2">
        <f>IF(AND(A203="line",AB203&lt;&gt;"match",COUNTIFS($A$2:$A$500,"coverage",$B$2:$B$500,B203,$C$2:$C$500,C203,$D$2:$D$500,"invoice")&gt;0),MAX($AC$1:AC202)+1,"")</f>
        <v/>
      </c>
      <c r="AD203" s="2">
        <f>IF(A203&lt;&gt;"line","",IF(O203="UNMAPPED","no mapping rule",IF(P203="L","low confidence","")))</f>
        <v/>
      </c>
      <c r="AE203" s="2">
        <f>IF(AD203&lt;&gt;"",MAX($AE$1:AE202)+1,"")</f>
        <v/>
      </c>
      <c r="AF203" s="2">
        <f>IF(A203="coverage",MAX($AF$1:AF202)+1,"")</f>
        <v/>
      </c>
      <c r="AG203" s="2">
        <f>IF(A203="line",IF(COUNTIFS($B$1:B202,B203,$C$1:C202,C203,$A$1:A202,"line")=0,MAX($AG$1:AG202)+1,""),"")</f>
        <v/>
      </c>
    </row>
    <row r="204">
      <c r="W204" s="2">
        <f>IF(A204="line",IF(D204="quote",E204,G204)&amp;"|"&amp;LOWER(TRIM(K204)),"")</f>
        <v/>
      </c>
      <c r="X204" s="2">
        <f>IF(OR(O204="LABOUR",O204="INSTALL"),"LABOUR_ALL",IF(O204="","",O204))</f>
        <v/>
      </c>
      <c r="Y204" s="9">
        <f>IF(AND(A204="line",D204="quote"),SUMIFS($N$2:$N$500,$W$2:$W$500,W204,$D$2:$D$500,"invoice",$A$2:$A$500,"line"),"")</f>
        <v/>
      </c>
      <c r="Z204" s="2">
        <f>IF(AND(A204="line",D204="quote"),COUNTIFS($W$2:$W$500,W204,$D$2:$D$500,"invoice",$A$2:$A$500,"line"),"")</f>
        <v/>
      </c>
      <c r="AA204" s="2">
        <f>IF(AND(A204="line",D204="invoice"),COUNTIFS($W$2:$W$500,W204,$D$2:$D$500,"quote",$A$2:$A$500,"line"),"")</f>
        <v/>
      </c>
      <c r="AB204" s="2">
        <f>IF(A204&lt;&gt;"line","",IF(D204="quote",IF(Z204=0,"quote only",IF(ABS(Y204-N204)&gt;Settings!$B$2,"amount differs","match")),IF(AA204=0,"invoice only","match")))</f>
        <v/>
      </c>
      <c r="AC204" s="2">
        <f>IF(AND(A204="line",AB204&lt;&gt;"match",COUNTIFS($A$2:$A$500,"coverage",$B$2:$B$500,B204,$C$2:$C$500,C204,$D$2:$D$500,"invoice")&gt;0),MAX($AC$1:AC203)+1,"")</f>
        <v/>
      </c>
      <c r="AD204" s="2">
        <f>IF(A204&lt;&gt;"line","",IF(O204="UNMAPPED","no mapping rule",IF(P204="L","low confidence","")))</f>
        <v/>
      </c>
      <c r="AE204" s="2">
        <f>IF(AD204&lt;&gt;"",MAX($AE$1:AE203)+1,"")</f>
        <v/>
      </c>
      <c r="AF204" s="2">
        <f>IF(A204="coverage",MAX($AF$1:AF203)+1,"")</f>
        <v/>
      </c>
      <c r="AG204" s="2">
        <f>IF(A204="line",IF(COUNTIFS($B$1:B203,B204,$C$1:C203,C204,$A$1:A203,"line")=0,MAX($AG$1:AG203)+1,""),"")</f>
        <v/>
      </c>
    </row>
    <row r="205">
      <c r="W205" s="2">
        <f>IF(A205="line",IF(D205="quote",E205,G205)&amp;"|"&amp;LOWER(TRIM(K205)),"")</f>
        <v/>
      </c>
      <c r="X205" s="2">
        <f>IF(OR(O205="LABOUR",O205="INSTALL"),"LABOUR_ALL",IF(O205="","",O205))</f>
        <v/>
      </c>
      <c r="Y205" s="9">
        <f>IF(AND(A205="line",D205="quote"),SUMIFS($N$2:$N$500,$W$2:$W$500,W205,$D$2:$D$500,"invoice",$A$2:$A$500,"line"),"")</f>
        <v/>
      </c>
      <c r="Z205" s="2">
        <f>IF(AND(A205="line",D205="quote"),COUNTIFS($W$2:$W$500,W205,$D$2:$D$500,"invoice",$A$2:$A$500,"line"),"")</f>
        <v/>
      </c>
      <c r="AA205" s="2">
        <f>IF(AND(A205="line",D205="invoice"),COUNTIFS($W$2:$W$500,W205,$D$2:$D$500,"quote",$A$2:$A$500,"line"),"")</f>
        <v/>
      </c>
      <c r="AB205" s="2">
        <f>IF(A205&lt;&gt;"line","",IF(D205="quote",IF(Z205=0,"quote only",IF(ABS(Y205-N205)&gt;Settings!$B$2,"amount differs","match")),IF(AA205=0,"invoice only","match")))</f>
        <v/>
      </c>
      <c r="AC205" s="2">
        <f>IF(AND(A205="line",AB205&lt;&gt;"match",COUNTIFS($A$2:$A$500,"coverage",$B$2:$B$500,B205,$C$2:$C$500,C205,$D$2:$D$500,"invoice")&gt;0),MAX($AC$1:AC204)+1,"")</f>
        <v/>
      </c>
      <c r="AD205" s="2">
        <f>IF(A205&lt;&gt;"line","",IF(O205="UNMAPPED","no mapping rule",IF(P205="L","low confidence","")))</f>
        <v/>
      </c>
      <c r="AE205" s="2">
        <f>IF(AD205&lt;&gt;"",MAX($AE$1:AE204)+1,"")</f>
        <v/>
      </c>
      <c r="AF205" s="2">
        <f>IF(A205="coverage",MAX($AF$1:AF204)+1,"")</f>
        <v/>
      </c>
      <c r="AG205" s="2">
        <f>IF(A205="line",IF(COUNTIFS($B$1:B204,B205,$C$1:C204,C205,$A$1:A204,"line")=0,MAX($AG$1:AG204)+1,""),"")</f>
        <v/>
      </c>
    </row>
    <row r="206">
      <c r="W206" s="2">
        <f>IF(A206="line",IF(D206="quote",E206,G206)&amp;"|"&amp;LOWER(TRIM(K206)),"")</f>
        <v/>
      </c>
      <c r="X206" s="2">
        <f>IF(OR(O206="LABOUR",O206="INSTALL"),"LABOUR_ALL",IF(O206="","",O206))</f>
        <v/>
      </c>
      <c r="Y206" s="9">
        <f>IF(AND(A206="line",D206="quote"),SUMIFS($N$2:$N$500,$W$2:$W$500,W206,$D$2:$D$500,"invoice",$A$2:$A$500,"line"),"")</f>
        <v/>
      </c>
      <c r="Z206" s="2">
        <f>IF(AND(A206="line",D206="quote"),COUNTIFS($W$2:$W$500,W206,$D$2:$D$500,"invoice",$A$2:$A$500,"line"),"")</f>
        <v/>
      </c>
      <c r="AA206" s="2">
        <f>IF(AND(A206="line",D206="invoice"),COUNTIFS($W$2:$W$500,W206,$D$2:$D$500,"quote",$A$2:$A$500,"line"),"")</f>
        <v/>
      </c>
      <c r="AB206" s="2">
        <f>IF(A206&lt;&gt;"line","",IF(D206="quote",IF(Z206=0,"quote only",IF(ABS(Y206-N206)&gt;Settings!$B$2,"amount differs","match")),IF(AA206=0,"invoice only","match")))</f>
        <v/>
      </c>
      <c r="AC206" s="2">
        <f>IF(AND(A206="line",AB206&lt;&gt;"match",COUNTIFS($A$2:$A$500,"coverage",$B$2:$B$500,B206,$C$2:$C$500,C206,$D$2:$D$500,"invoice")&gt;0),MAX($AC$1:AC205)+1,"")</f>
        <v/>
      </c>
      <c r="AD206" s="2">
        <f>IF(A206&lt;&gt;"line","",IF(O206="UNMAPPED","no mapping rule",IF(P206="L","low confidence","")))</f>
        <v/>
      </c>
      <c r="AE206" s="2">
        <f>IF(AD206&lt;&gt;"",MAX($AE$1:AE205)+1,"")</f>
        <v/>
      </c>
      <c r="AF206" s="2">
        <f>IF(A206="coverage",MAX($AF$1:AF205)+1,"")</f>
        <v/>
      </c>
      <c r="AG206" s="2">
        <f>IF(A206="line",IF(COUNTIFS($B$1:B205,B206,$C$1:C205,C206,$A$1:A205,"line")=0,MAX($AG$1:AG205)+1,""),"")</f>
        <v/>
      </c>
    </row>
    <row r="207">
      <c r="W207" s="2">
        <f>IF(A207="line",IF(D207="quote",E207,G207)&amp;"|"&amp;LOWER(TRIM(K207)),"")</f>
        <v/>
      </c>
      <c r="X207" s="2">
        <f>IF(OR(O207="LABOUR",O207="INSTALL"),"LABOUR_ALL",IF(O207="","",O207))</f>
        <v/>
      </c>
      <c r="Y207" s="9">
        <f>IF(AND(A207="line",D207="quote"),SUMIFS($N$2:$N$500,$W$2:$W$500,W207,$D$2:$D$500,"invoice",$A$2:$A$500,"line"),"")</f>
        <v/>
      </c>
      <c r="Z207" s="2">
        <f>IF(AND(A207="line",D207="quote"),COUNTIFS($W$2:$W$500,W207,$D$2:$D$500,"invoice",$A$2:$A$500,"line"),"")</f>
        <v/>
      </c>
      <c r="AA207" s="2">
        <f>IF(AND(A207="line",D207="invoice"),COUNTIFS($W$2:$W$500,W207,$D$2:$D$500,"quote",$A$2:$A$500,"line"),"")</f>
        <v/>
      </c>
      <c r="AB207" s="2">
        <f>IF(A207&lt;&gt;"line","",IF(D207="quote",IF(Z207=0,"quote only",IF(ABS(Y207-N207)&gt;Settings!$B$2,"amount differs","match")),IF(AA207=0,"invoice only","match")))</f>
        <v/>
      </c>
      <c r="AC207" s="2">
        <f>IF(AND(A207="line",AB207&lt;&gt;"match",COUNTIFS($A$2:$A$500,"coverage",$B$2:$B$500,B207,$C$2:$C$500,C207,$D$2:$D$500,"invoice")&gt;0),MAX($AC$1:AC206)+1,"")</f>
        <v/>
      </c>
      <c r="AD207" s="2">
        <f>IF(A207&lt;&gt;"line","",IF(O207="UNMAPPED","no mapping rule",IF(P207="L","low confidence","")))</f>
        <v/>
      </c>
      <c r="AE207" s="2">
        <f>IF(AD207&lt;&gt;"",MAX($AE$1:AE206)+1,"")</f>
        <v/>
      </c>
      <c r="AF207" s="2">
        <f>IF(A207="coverage",MAX($AF$1:AF206)+1,"")</f>
        <v/>
      </c>
      <c r="AG207" s="2">
        <f>IF(A207="line",IF(COUNTIFS($B$1:B206,B207,$C$1:C206,C207,$A$1:A206,"line")=0,MAX($AG$1:AG206)+1,""),"")</f>
        <v/>
      </c>
    </row>
    <row r="208">
      <c r="W208" s="2">
        <f>IF(A208="line",IF(D208="quote",E208,G208)&amp;"|"&amp;LOWER(TRIM(K208)),"")</f>
        <v/>
      </c>
      <c r="X208" s="2">
        <f>IF(OR(O208="LABOUR",O208="INSTALL"),"LABOUR_ALL",IF(O208="","",O208))</f>
        <v/>
      </c>
      <c r="Y208" s="9">
        <f>IF(AND(A208="line",D208="quote"),SUMIFS($N$2:$N$500,$W$2:$W$500,W208,$D$2:$D$500,"invoice",$A$2:$A$500,"line"),"")</f>
        <v/>
      </c>
      <c r="Z208" s="2">
        <f>IF(AND(A208="line",D208="quote"),COUNTIFS($W$2:$W$500,W208,$D$2:$D$500,"invoice",$A$2:$A$500,"line"),"")</f>
        <v/>
      </c>
      <c r="AA208" s="2">
        <f>IF(AND(A208="line",D208="invoice"),COUNTIFS($W$2:$W$500,W208,$D$2:$D$500,"quote",$A$2:$A$500,"line"),"")</f>
        <v/>
      </c>
      <c r="AB208" s="2">
        <f>IF(A208&lt;&gt;"line","",IF(D208="quote",IF(Z208=0,"quote only",IF(ABS(Y208-N208)&gt;Settings!$B$2,"amount differs","match")),IF(AA208=0,"invoice only","match")))</f>
        <v/>
      </c>
      <c r="AC208" s="2">
        <f>IF(AND(A208="line",AB208&lt;&gt;"match",COUNTIFS($A$2:$A$500,"coverage",$B$2:$B$500,B208,$C$2:$C$500,C208,$D$2:$D$500,"invoice")&gt;0),MAX($AC$1:AC207)+1,"")</f>
        <v/>
      </c>
      <c r="AD208" s="2">
        <f>IF(A208&lt;&gt;"line","",IF(O208="UNMAPPED","no mapping rule",IF(P208="L","low confidence","")))</f>
        <v/>
      </c>
      <c r="AE208" s="2">
        <f>IF(AD208&lt;&gt;"",MAX($AE$1:AE207)+1,"")</f>
        <v/>
      </c>
      <c r="AF208" s="2">
        <f>IF(A208="coverage",MAX($AF$1:AF207)+1,"")</f>
        <v/>
      </c>
      <c r="AG208" s="2">
        <f>IF(A208="line",IF(COUNTIFS($B$1:B207,B208,$C$1:C207,C208,$A$1:A207,"line")=0,MAX($AG$1:AG207)+1,""),"")</f>
        <v/>
      </c>
    </row>
    <row r="209">
      <c r="W209" s="2">
        <f>IF(A209="line",IF(D209="quote",E209,G209)&amp;"|"&amp;LOWER(TRIM(K209)),"")</f>
        <v/>
      </c>
      <c r="X209" s="2">
        <f>IF(OR(O209="LABOUR",O209="INSTALL"),"LABOUR_ALL",IF(O209="","",O209))</f>
        <v/>
      </c>
      <c r="Y209" s="9">
        <f>IF(AND(A209="line",D209="quote"),SUMIFS($N$2:$N$500,$W$2:$W$500,W209,$D$2:$D$500,"invoice",$A$2:$A$500,"line"),"")</f>
        <v/>
      </c>
      <c r="Z209" s="2">
        <f>IF(AND(A209="line",D209="quote"),COUNTIFS($W$2:$W$500,W209,$D$2:$D$500,"invoice",$A$2:$A$500,"line"),"")</f>
        <v/>
      </c>
      <c r="AA209" s="2">
        <f>IF(AND(A209="line",D209="invoice"),COUNTIFS($W$2:$W$500,W209,$D$2:$D$500,"quote",$A$2:$A$500,"line"),"")</f>
        <v/>
      </c>
      <c r="AB209" s="2">
        <f>IF(A209&lt;&gt;"line","",IF(D209="quote",IF(Z209=0,"quote only",IF(ABS(Y209-N209)&gt;Settings!$B$2,"amount differs","match")),IF(AA209=0,"invoice only","match")))</f>
        <v/>
      </c>
      <c r="AC209" s="2">
        <f>IF(AND(A209="line",AB209&lt;&gt;"match",COUNTIFS($A$2:$A$500,"coverage",$B$2:$B$500,B209,$C$2:$C$500,C209,$D$2:$D$500,"invoice")&gt;0),MAX($AC$1:AC208)+1,"")</f>
        <v/>
      </c>
      <c r="AD209" s="2">
        <f>IF(A209&lt;&gt;"line","",IF(O209="UNMAPPED","no mapping rule",IF(P209="L","low confidence","")))</f>
        <v/>
      </c>
      <c r="AE209" s="2">
        <f>IF(AD209&lt;&gt;"",MAX($AE$1:AE208)+1,"")</f>
        <v/>
      </c>
      <c r="AF209" s="2">
        <f>IF(A209="coverage",MAX($AF$1:AF208)+1,"")</f>
        <v/>
      </c>
      <c r="AG209" s="2">
        <f>IF(A209="line",IF(COUNTIFS($B$1:B208,B209,$C$1:C208,C209,$A$1:A208,"line")=0,MAX($AG$1:AG208)+1,""),"")</f>
        <v/>
      </c>
    </row>
    <row r="210">
      <c r="W210" s="2">
        <f>IF(A210="line",IF(D210="quote",E210,G210)&amp;"|"&amp;LOWER(TRIM(K210)),"")</f>
        <v/>
      </c>
      <c r="X210" s="2">
        <f>IF(OR(O210="LABOUR",O210="INSTALL"),"LABOUR_ALL",IF(O210="","",O210))</f>
        <v/>
      </c>
      <c r="Y210" s="9">
        <f>IF(AND(A210="line",D210="quote"),SUMIFS($N$2:$N$500,$W$2:$W$500,W210,$D$2:$D$500,"invoice",$A$2:$A$500,"line"),"")</f>
        <v/>
      </c>
      <c r="Z210" s="2">
        <f>IF(AND(A210="line",D210="quote"),COUNTIFS($W$2:$W$500,W210,$D$2:$D$500,"invoice",$A$2:$A$500,"line"),"")</f>
        <v/>
      </c>
      <c r="AA210" s="2">
        <f>IF(AND(A210="line",D210="invoice"),COUNTIFS($W$2:$W$500,W210,$D$2:$D$500,"quote",$A$2:$A$500,"line"),"")</f>
        <v/>
      </c>
      <c r="AB210" s="2">
        <f>IF(A210&lt;&gt;"line","",IF(D210="quote",IF(Z210=0,"quote only",IF(ABS(Y210-N210)&gt;Settings!$B$2,"amount differs","match")),IF(AA210=0,"invoice only","match")))</f>
        <v/>
      </c>
      <c r="AC210" s="2">
        <f>IF(AND(A210="line",AB210&lt;&gt;"match",COUNTIFS($A$2:$A$500,"coverage",$B$2:$B$500,B210,$C$2:$C$500,C210,$D$2:$D$500,"invoice")&gt;0),MAX($AC$1:AC209)+1,"")</f>
        <v/>
      </c>
      <c r="AD210" s="2">
        <f>IF(A210&lt;&gt;"line","",IF(O210="UNMAPPED","no mapping rule",IF(P210="L","low confidence","")))</f>
        <v/>
      </c>
      <c r="AE210" s="2">
        <f>IF(AD210&lt;&gt;"",MAX($AE$1:AE209)+1,"")</f>
        <v/>
      </c>
      <c r="AF210" s="2">
        <f>IF(A210="coverage",MAX($AF$1:AF209)+1,"")</f>
        <v/>
      </c>
      <c r="AG210" s="2">
        <f>IF(A210="line",IF(COUNTIFS($B$1:B209,B210,$C$1:C209,C210,$A$1:A209,"line")=0,MAX($AG$1:AG209)+1,""),"")</f>
        <v/>
      </c>
    </row>
    <row r="211">
      <c r="W211" s="2">
        <f>IF(A211="line",IF(D211="quote",E211,G211)&amp;"|"&amp;LOWER(TRIM(K211)),"")</f>
        <v/>
      </c>
      <c r="X211" s="2">
        <f>IF(OR(O211="LABOUR",O211="INSTALL"),"LABOUR_ALL",IF(O211="","",O211))</f>
        <v/>
      </c>
      <c r="Y211" s="9">
        <f>IF(AND(A211="line",D211="quote"),SUMIFS($N$2:$N$500,$W$2:$W$500,W211,$D$2:$D$500,"invoice",$A$2:$A$500,"line"),"")</f>
        <v/>
      </c>
      <c r="Z211" s="2">
        <f>IF(AND(A211="line",D211="quote"),COUNTIFS($W$2:$W$500,W211,$D$2:$D$500,"invoice",$A$2:$A$500,"line"),"")</f>
        <v/>
      </c>
      <c r="AA211" s="2">
        <f>IF(AND(A211="line",D211="invoice"),COUNTIFS($W$2:$W$500,W211,$D$2:$D$500,"quote",$A$2:$A$500,"line"),"")</f>
        <v/>
      </c>
      <c r="AB211" s="2">
        <f>IF(A211&lt;&gt;"line","",IF(D211="quote",IF(Z211=0,"quote only",IF(ABS(Y211-N211)&gt;Settings!$B$2,"amount differs","match")),IF(AA211=0,"invoice only","match")))</f>
        <v/>
      </c>
      <c r="AC211" s="2">
        <f>IF(AND(A211="line",AB211&lt;&gt;"match",COUNTIFS($A$2:$A$500,"coverage",$B$2:$B$500,B211,$C$2:$C$500,C211,$D$2:$D$500,"invoice")&gt;0),MAX($AC$1:AC210)+1,"")</f>
        <v/>
      </c>
      <c r="AD211" s="2">
        <f>IF(A211&lt;&gt;"line","",IF(O211="UNMAPPED","no mapping rule",IF(P211="L","low confidence","")))</f>
        <v/>
      </c>
      <c r="AE211" s="2">
        <f>IF(AD211&lt;&gt;"",MAX($AE$1:AE210)+1,"")</f>
        <v/>
      </c>
      <c r="AF211" s="2">
        <f>IF(A211="coverage",MAX($AF$1:AF210)+1,"")</f>
        <v/>
      </c>
      <c r="AG211" s="2">
        <f>IF(A211="line",IF(COUNTIFS($B$1:B210,B211,$C$1:C210,C211,$A$1:A210,"line")=0,MAX($AG$1:AG210)+1,""),"")</f>
        <v/>
      </c>
    </row>
    <row r="212">
      <c r="W212" s="2">
        <f>IF(A212="line",IF(D212="quote",E212,G212)&amp;"|"&amp;LOWER(TRIM(K212)),"")</f>
        <v/>
      </c>
      <c r="X212" s="2">
        <f>IF(OR(O212="LABOUR",O212="INSTALL"),"LABOUR_ALL",IF(O212="","",O212))</f>
        <v/>
      </c>
      <c r="Y212" s="9">
        <f>IF(AND(A212="line",D212="quote"),SUMIFS($N$2:$N$500,$W$2:$W$500,W212,$D$2:$D$500,"invoice",$A$2:$A$500,"line"),"")</f>
        <v/>
      </c>
      <c r="Z212" s="2">
        <f>IF(AND(A212="line",D212="quote"),COUNTIFS($W$2:$W$500,W212,$D$2:$D$500,"invoice",$A$2:$A$500,"line"),"")</f>
        <v/>
      </c>
      <c r="AA212" s="2">
        <f>IF(AND(A212="line",D212="invoice"),COUNTIFS($W$2:$W$500,W212,$D$2:$D$500,"quote",$A$2:$A$500,"line"),"")</f>
        <v/>
      </c>
      <c r="AB212" s="2">
        <f>IF(A212&lt;&gt;"line","",IF(D212="quote",IF(Z212=0,"quote only",IF(ABS(Y212-N212)&gt;Settings!$B$2,"amount differs","match")),IF(AA212=0,"invoice only","match")))</f>
        <v/>
      </c>
      <c r="AC212" s="2">
        <f>IF(AND(A212="line",AB212&lt;&gt;"match",COUNTIFS($A$2:$A$500,"coverage",$B$2:$B$500,B212,$C$2:$C$500,C212,$D$2:$D$500,"invoice")&gt;0),MAX($AC$1:AC211)+1,"")</f>
        <v/>
      </c>
      <c r="AD212" s="2">
        <f>IF(A212&lt;&gt;"line","",IF(O212="UNMAPPED","no mapping rule",IF(P212="L","low confidence","")))</f>
        <v/>
      </c>
      <c r="AE212" s="2">
        <f>IF(AD212&lt;&gt;"",MAX($AE$1:AE211)+1,"")</f>
        <v/>
      </c>
      <c r="AF212" s="2">
        <f>IF(A212="coverage",MAX($AF$1:AF211)+1,"")</f>
        <v/>
      </c>
      <c r="AG212" s="2">
        <f>IF(A212="line",IF(COUNTIFS($B$1:B211,B212,$C$1:C211,C212,$A$1:A211,"line")=0,MAX($AG$1:AG211)+1,""),"")</f>
        <v/>
      </c>
    </row>
    <row r="213">
      <c r="W213" s="2">
        <f>IF(A213="line",IF(D213="quote",E213,G213)&amp;"|"&amp;LOWER(TRIM(K213)),"")</f>
        <v/>
      </c>
      <c r="X213" s="2">
        <f>IF(OR(O213="LABOUR",O213="INSTALL"),"LABOUR_ALL",IF(O213="","",O213))</f>
        <v/>
      </c>
      <c r="Y213" s="9">
        <f>IF(AND(A213="line",D213="quote"),SUMIFS($N$2:$N$500,$W$2:$W$500,W213,$D$2:$D$500,"invoice",$A$2:$A$500,"line"),"")</f>
        <v/>
      </c>
      <c r="Z213" s="2">
        <f>IF(AND(A213="line",D213="quote"),COUNTIFS($W$2:$W$500,W213,$D$2:$D$500,"invoice",$A$2:$A$500,"line"),"")</f>
        <v/>
      </c>
      <c r="AA213" s="2">
        <f>IF(AND(A213="line",D213="invoice"),COUNTIFS($W$2:$W$500,W213,$D$2:$D$500,"quote",$A$2:$A$500,"line"),"")</f>
        <v/>
      </c>
      <c r="AB213" s="2">
        <f>IF(A213&lt;&gt;"line","",IF(D213="quote",IF(Z213=0,"quote only",IF(ABS(Y213-N213)&gt;Settings!$B$2,"amount differs","match")),IF(AA213=0,"invoice only","match")))</f>
        <v/>
      </c>
      <c r="AC213" s="2">
        <f>IF(AND(A213="line",AB213&lt;&gt;"match",COUNTIFS($A$2:$A$500,"coverage",$B$2:$B$500,B213,$C$2:$C$500,C213,$D$2:$D$500,"invoice")&gt;0),MAX($AC$1:AC212)+1,"")</f>
        <v/>
      </c>
      <c r="AD213" s="2">
        <f>IF(A213&lt;&gt;"line","",IF(O213="UNMAPPED","no mapping rule",IF(P213="L","low confidence","")))</f>
        <v/>
      </c>
      <c r="AE213" s="2">
        <f>IF(AD213&lt;&gt;"",MAX($AE$1:AE212)+1,"")</f>
        <v/>
      </c>
      <c r="AF213" s="2">
        <f>IF(A213="coverage",MAX($AF$1:AF212)+1,"")</f>
        <v/>
      </c>
      <c r="AG213" s="2">
        <f>IF(A213="line",IF(COUNTIFS($B$1:B212,B213,$C$1:C212,C213,$A$1:A212,"line")=0,MAX($AG$1:AG212)+1,""),"")</f>
        <v/>
      </c>
    </row>
    <row r="214">
      <c r="W214" s="2">
        <f>IF(A214="line",IF(D214="quote",E214,G214)&amp;"|"&amp;LOWER(TRIM(K214)),"")</f>
        <v/>
      </c>
      <c r="X214" s="2">
        <f>IF(OR(O214="LABOUR",O214="INSTALL"),"LABOUR_ALL",IF(O214="","",O214))</f>
        <v/>
      </c>
      <c r="Y214" s="9">
        <f>IF(AND(A214="line",D214="quote"),SUMIFS($N$2:$N$500,$W$2:$W$500,W214,$D$2:$D$500,"invoice",$A$2:$A$500,"line"),"")</f>
        <v/>
      </c>
      <c r="Z214" s="2">
        <f>IF(AND(A214="line",D214="quote"),COUNTIFS($W$2:$W$500,W214,$D$2:$D$500,"invoice",$A$2:$A$500,"line"),"")</f>
        <v/>
      </c>
      <c r="AA214" s="2">
        <f>IF(AND(A214="line",D214="invoice"),COUNTIFS($W$2:$W$500,W214,$D$2:$D$500,"quote",$A$2:$A$500,"line"),"")</f>
        <v/>
      </c>
      <c r="AB214" s="2">
        <f>IF(A214&lt;&gt;"line","",IF(D214="quote",IF(Z214=0,"quote only",IF(ABS(Y214-N214)&gt;Settings!$B$2,"amount differs","match")),IF(AA214=0,"invoice only","match")))</f>
        <v/>
      </c>
      <c r="AC214" s="2">
        <f>IF(AND(A214="line",AB214&lt;&gt;"match",COUNTIFS($A$2:$A$500,"coverage",$B$2:$B$500,B214,$C$2:$C$500,C214,$D$2:$D$500,"invoice")&gt;0),MAX($AC$1:AC213)+1,"")</f>
        <v/>
      </c>
      <c r="AD214" s="2">
        <f>IF(A214&lt;&gt;"line","",IF(O214="UNMAPPED","no mapping rule",IF(P214="L","low confidence","")))</f>
        <v/>
      </c>
      <c r="AE214" s="2">
        <f>IF(AD214&lt;&gt;"",MAX($AE$1:AE213)+1,"")</f>
        <v/>
      </c>
      <c r="AF214" s="2">
        <f>IF(A214="coverage",MAX($AF$1:AF213)+1,"")</f>
        <v/>
      </c>
      <c r="AG214" s="2">
        <f>IF(A214="line",IF(COUNTIFS($B$1:B213,B214,$C$1:C213,C214,$A$1:A213,"line")=0,MAX($AG$1:AG213)+1,""),"")</f>
        <v/>
      </c>
    </row>
    <row r="215">
      <c r="W215" s="2">
        <f>IF(A215="line",IF(D215="quote",E215,G215)&amp;"|"&amp;LOWER(TRIM(K215)),"")</f>
        <v/>
      </c>
      <c r="X215" s="2">
        <f>IF(OR(O215="LABOUR",O215="INSTALL"),"LABOUR_ALL",IF(O215="","",O215))</f>
        <v/>
      </c>
      <c r="Y215" s="9">
        <f>IF(AND(A215="line",D215="quote"),SUMIFS($N$2:$N$500,$W$2:$W$500,W215,$D$2:$D$500,"invoice",$A$2:$A$500,"line"),"")</f>
        <v/>
      </c>
      <c r="Z215" s="2">
        <f>IF(AND(A215="line",D215="quote"),COUNTIFS($W$2:$W$500,W215,$D$2:$D$500,"invoice",$A$2:$A$500,"line"),"")</f>
        <v/>
      </c>
      <c r="AA215" s="2">
        <f>IF(AND(A215="line",D215="invoice"),COUNTIFS($W$2:$W$500,W215,$D$2:$D$500,"quote",$A$2:$A$500,"line"),"")</f>
        <v/>
      </c>
      <c r="AB215" s="2">
        <f>IF(A215&lt;&gt;"line","",IF(D215="quote",IF(Z215=0,"quote only",IF(ABS(Y215-N215)&gt;Settings!$B$2,"amount differs","match")),IF(AA215=0,"invoice only","match")))</f>
        <v/>
      </c>
      <c r="AC215" s="2">
        <f>IF(AND(A215="line",AB215&lt;&gt;"match",COUNTIFS($A$2:$A$500,"coverage",$B$2:$B$500,B215,$C$2:$C$500,C215,$D$2:$D$500,"invoice")&gt;0),MAX($AC$1:AC214)+1,"")</f>
        <v/>
      </c>
      <c r="AD215" s="2">
        <f>IF(A215&lt;&gt;"line","",IF(O215="UNMAPPED","no mapping rule",IF(P215="L","low confidence","")))</f>
        <v/>
      </c>
      <c r="AE215" s="2">
        <f>IF(AD215&lt;&gt;"",MAX($AE$1:AE214)+1,"")</f>
        <v/>
      </c>
      <c r="AF215" s="2">
        <f>IF(A215="coverage",MAX($AF$1:AF214)+1,"")</f>
        <v/>
      </c>
      <c r="AG215" s="2">
        <f>IF(A215="line",IF(COUNTIFS($B$1:B214,B215,$C$1:C214,C215,$A$1:A214,"line")=0,MAX($AG$1:AG214)+1,""),"")</f>
        <v/>
      </c>
    </row>
    <row r="216">
      <c r="W216" s="2">
        <f>IF(A216="line",IF(D216="quote",E216,G216)&amp;"|"&amp;LOWER(TRIM(K216)),"")</f>
        <v/>
      </c>
      <c r="X216" s="2">
        <f>IF(OR(O216="LABOUR",O216="INSTALL"),"LABOUR_ALL",IF(O216="","",O216))</f>
        <v/>
      </c>
      <c r="Y216" s="9">
        <f>IF(AND(A216="line",D216="quote"),SUMIFS($N$2:$N$500,$W$2:$W$500,W216,$D$2:$D$500,"invoice",$A$2:$A$500,"line"),"")</f>
        <v/>
      </c>
      <c r="Z216" s="2">
        <f>IF(AND(A216="line",D216="quote"),COUNTIFS($W$2:$W$500,W216,$D$2:$D$500,"invoice",$A$2:$A$500,"line"),"")</f>
        <v/>
      </c>
      <c r="AA216" s="2">
        <f>IF(AND(A216="line",D216="invoice"),COUNTIFS($W$2:$W$500,W216,$D$2:$D$500,"quote",$A$2:$A$500,"line"),"")</f>
        <v/>
      </c>
      <c r="AB216" s="2">
        <f>IF(A216&lt;&gt;"line","",IF(D216="quote",IF(Z216=0,"quote only",IF(ABS(Y216-N216)&gt;Settings!$B$2,"amount differs","match")),IF(AA216=0,"invoice only","match")))</f>
        <v/>
      </c>
      <c r="AC216" s="2">
        <f>IF(AND(A216="line",AB216&lt;&gt;"match",COUNTIFS($A$2:$A$500,"coverage",$B$2:$B$500,B216,$C$2:$C$500,C216,$D$2:$D$500,"invoice")&gt;0),MAX($AC$1:AC215)+1,"")</f>
        <v/>
      </c>
      <c r="AD216" s="2">
        <f>IF(A216&lt;&gt;"line","",IF(O216="UNMAPPED","no mapping rule",IF(P216="L","low confidence","")))</f>
        <v/>
      </c>
      <c r="AE216" s="2">
        <f>IF(AD216&lt;&gt;"",MAX($AE$1:AE215)+1,"")</f>
        <v/>
      </c>
      <c r="AF216" s="2">
        <f>IF(A216="coverage",MAX($AF$1:AF215)+1,"")</f>
        <v/>
      </c>
      <c r="AG216" s="2">
        <f>IF(A216="line",IF(COUNTIFS($B$1:B215,B216,$C$1:C215,C216,$A$1:A215,"line")=0,MAX($AG$1:AG215)+1,""),"")</f>
        <v/>
      </c>
    </row>
    <row r="217">
      <c r="W217" s="2">
        <f>IF(A217="line",IF(D217="quote",E217,G217)&amp;"|"&amp;LOWER(TRIM(K217)),"")</f>
        <v/>
      </c>
      <c r="X217" s="2">
        <f>IF(OR(O217="LABOUR",O217="INSTALL"),"LABOUR_ALL",IF(O217="","",O217))</f>
        <v/>
      </c>
      <c r="Y217" s="9">
        <f>IF(AND(A217="line",D217="quote"),SUMIFS($N$2:$N$500,$W$2:$W$500,W217,$D$2:$D$500,"invoice",$A$2:$A$500,"line"),"")</f>
        <v/>
      </c>
      <c r="Z217" s="2">
        <f>IF(AND(A217="line",D217="quote"),COUNTIFS($W$2:$W$500,W217,$D$2:$D$500,"invoice",$A$2:$A$500,"line"),"")</f>
        <v/>
      </c>
      <c r="AA217" s="2">
        <f>IF(AND(A217="line",D217="invoice"),COUNTIFS($W$2:$W$500,W217,$D$2:$D$500,"quote",$A$2:$A$500,"line"),"")</f>
        <v/>
      </c>
      <c r="AB217" s="2">
        <f>IF(A217&lt;&gt;"line","",IF(D217="quote",IF(Z217=0,"quote only",IF(ABS(Y217-N217)&gt;Settings!$B$2,"amount differs","match")),IF(AA217=0,"invoice only","match")))</f>
        <v/>
      </c>
      <c r="AC217" s="2">
        <f>IF(AND(A217="line",AB217&lt;&gt;"match",COUNTIFS($A$2:$A$500,"coverage",$B$2:$B$500,B217,$C$2:$C$500,C217,$D$2:$D$500,"invoice")&gt;0),MAX($AC$1:AC216)+1,"")</f>
        <v/>
      </c>
      <c r="AD217" s="2">
        <f>IF(A217&lt;&gt;"line","",IF(O217="UNMAPPED","no mapping rule",IF(P217="L","low confidence","")))</f>
        <v/>
      </c>
      <c r="AE217" s="2">
        <f>IF(AD217&lt;&gt;"",MAX($AE$1:AE216)+1,"")</f>
        <v/>
      </c>
      <c r="AF217" s="2">
        <f>IF(A217="coverage",MAX($AF$1:AF216)+1,"")</f>
        <v/>
      </c>
      <c r="AG217" s="2">
        <f>IF(A217="line",IF(COUNTIFS($B$1:B216,B217,$C$1:C216,C217,$A$1:A216,"line")=0,MAX($AG$1:AG216)+1,""),"")</f>
        <v/>
      </c>
    </row>
    <row r="218">
      <c r="W218" s="2">
        <f>IF(A218="line",IF(D218="quote",E218,G218)&amp;"|"&amp;LOWER(TRIM(K218)),"")</f>
        <v/>
      </c>
      <c r="X218" s="2">
        <f>IF(OR(O218="LABOUR",O218="INSTALL"),"LABOUR_ALL",IF(O218="","",O218))</f>
        <v/>
      </c>
      <c r="Y218" s="9">
        <f>IF(AND(A218="line",D218="quote"),SUMIFS($N$2:$N$500,$W$2:$W$500,W218,$D$2:$D$500,"invoice",$A$2:$A$500,"line"),"")</f>
        <v/>
      </c>
      <c r="Z218" s="2">
        <f>IF(AND(A218="line",D218="quote"),COUNTIFS($W$2:$W$500,W218,$D$2:$D$500,"invoice",$A$2:$A$500,"line"),"")</f>
        <v/>
      </c>
      <c r="AA218" s="2">
        <f>IF(AND(A218="line",D218="invoice"),COUNTIFS($W$2:$W$500,W218,$D$2:$D$500,"quote",$A$2:$A$500,"line"),"")</f>
        <v/>
      </c>
      <c r="AB218" s="2">
        <f>IF(A218&lt;&gt;"line","",IF(D218="quote",IF(Z218=0,"quote only",IF(ABS(Y218-N218)&gt;Settings!$B$2,"amount differs","match")),IF(AA218=0,"invoice only","match")))</f>
        <v/>
      </c>
      <c r="AC218" s="2">
        <f>IF(AND(A218="line",AB218&lt;&gt;"match",COUNTIFS($A$2:$A$500,"coverage",$B$2:$B$500,B218,$C$2:$C$500,C218,$D$2:$D$500,"invoice")&gt;0),MAX($AC$1:AC217)+1,"")</f>
        <v/>
      </c>
      <c r="AD218" s="2">
        <f>IF(A218&lt;&gt;"line","",IF(O218="UNMAPPED","no mapping rule",IF(P218="L","low confidence","")))</f>
        <v/>
      </c>
      <c r="AE218" s="2">
        <f>IF(AD218&lt;&gt;"",MAX($AE$1:AE217)+1,"")</f>
        <v/>
      </c>
      <c r="AF218" s="2">
        <f>IF(A218="coverage",MAX($AF$1:AF217)+1,"")</f>
        <v/>
      </c>
      <c r="AG218" s="2">
        <f>IF(A218="line",IF(COUNTIFS($B$1:B217,B218,$C$1:C217,C218,$A$1:A217,"line")=0,MAX($AG$1:AG217)+1,""),"")</f>
        <v/>
      </c>
    </row>
    <row r="219">
      <c r="W219" s="2">
        <f>IF(A219="line",IF(D219="quote",E219,G219)&amp;"|"&amp;LOWER(TRIM(K219)),"")</f>
        <v/>
      </c>
      <c r="X219" s="2">
        <f>IF(OR(O219="LABOUR",O219="INSTALL"),"LABOUR_ALL",IF(O219="","",O219))</f>
        <v/>
      </c>
      <c r="Y219" s="9">
        <f>IF(AND(A219="line",D219="quote"),SUMIFS($N$2:$N$500,$W$2:$W$500,W219,$D$2:$D$500,"invoice",$A$2:$A$500,"line"),"")</f>
        <v/>
      </c>
      <c r="Z219" s="2">
        <f>IF(AND(A219="line",D219="quote"),COUNTIFS($W$2:$W$500,W219,$D$2:$D$500,"invoice",$A$2:$A$500,"line"),"")</f>
        <v/>
      </c>
      <c r="AA219" s="2">
        <f>IF(AND(A219="line",D219="invoice"),COUNTIFS($W$2:$W$500,W219,$D$2:$D$500,"quote",$A$2:$A$500,"line"),"")</f>
        <v/>
      </c>
      <c r="AB219" s="2">
        <f>IF(A219&lt;&gt;"line","",IF(D219="quote",IF(Z219=0,"quote only",IF(ABS(Y219-N219)&gt;Settings!$B$2,"amount differs","match")),IF(AA219=0,"invoice only","match")))</f>
        <v/>
      </c>
      <c r="AC219" s="2">
        <f>IF(AND(A219="line",AB219&lt;&gt;"match",COUNTIFS($A$2:$A$500,"coverage",$B$2:$B$500,B219,$C$2:$C$500,C219,$D$2:$D$500,"invoice")&gt;0),MAX($AC$1:AC218)+1,"")</f>
        <v/>
      </c>
      <c r="AD219" s="2">
        <f>IF(A219&lt;&gt;"line","",IF(O219="UNMAPPED","no mapping rule",IF(P219="L","low confidence","")))</f>
        <v/>
      </c>
      <c r="AE219" s="2">
        <f>IF(AD219&lt;&gt;"",MAX($AE$1:AE218)+1,"")</f>
        <v/>
      </c>
      <c r="AF219" s="2">
        <f>IF(A219="coverage",MAX($AF$1:AF218)+1,"")</f>
        <v/>
      </c>
      <c r="AG219" s="2">
        <f>IF(A219="line",IF(COUNTIFS($B$1:B218,B219,$C$1:C218,C219,$A$1:A218,"line")=0,MAX($AG$1:AG218)+1,""),"")</f>
        <v/>
      </c>
    </row>
    <row r="220">
      <c r="W220" s="2">
        <f>IF(A220="line",IF(D220="quote",E220,G220)&amp;"|"&amp;LOWER(TRIM(K220)),"")</f>
        <v/>
      </c>
      <c r="X220" s="2">
        <f>IF(OR(O220="LABOUR",O220="INSTALL"),"LABOUR_ALL",IF(O220="","",O220))</f>
        <v/>
      </c>
      <c r="Y220" s="9">
        <f>IF(AND(A220="line",D220="quote"),SUMIFS($N$2:$N$500,$W$2:$W$500,W220,$D$2:$D$500,"invoice",$A$2:$A$500,"line"),"")</f>
        <v/>
      </c>
      <c r="Z220" s="2">
        <f>IF(AND(A220="line",D220="quote"),COUNTIFS($W$2:$W$500,W220,$D$2:$D$500,"invoice",$A$2:$A$500,"line"),"")</f>
        <v/>
      </c>
      <c r="AA220" s="2">
        <f>IF(AND(A220="line",D220="invoice"),COUNTIFS($W$2:$W$500,W220,$D$2:$D$500,"quote",$A$2:$A$500,"line"),"")</f>
        <v/>
      </c>
      <c r="AB220" s="2">
        <f>IF(A220&lt;&gt;"line","",IF(D220="quote",IF(Z220=0,"quote only",IF(ABS(Y220-N220)&gt;Settings!$B$2,"amount differs","match")),IF(AA220=0,"invoice only","match")))</f>
        <v/>
      </c>
      <c r="AC220" s="2">
        <f>IF(AND(A220="line",AB220&lt;&gt;"match",COUNTIFS($A$2:$A$500,"coverage",$B$2:$B$500,B220,$C$2:$C$500,C220,$D$2:$D$500,"invoice")&gt;0),MAX($AC$1:AC219)+1,"")</f>
        <v/>
      </c>
      <c r="AD220" s="2">
        <f>IF(A220&lt;&gt;"line","",IF(O220="UNMAPPED","no mapping rule",IF(P220="L","low confidence","")))</f>
        <v/>
      </c>
      <c r="AE220" s="2">
        <f>IF(AD220&lt;&gt;"",MAX($AE$1:AE219)+1,"")</f>
        <v/>
      </c>
      <c r="AF220" s="2">
        <f>IF(A220="coverage",MAX($AF$1:AF219)+1,"")</f>
        <v/>
      </c>
      <c r="AG220" s="2">
        <f>IF(A220="line",IF(COUNTIFS($B$1:B219,B220,$C$1:C219,C220,$A$1:A219,"line")=0,MAX($AG$1:AG219)+1,""),"")</f>
        <v/>
      </c>
    </row>
    <row r="221">
      <c r="W221" s="2">
        <f>IF(A221="line",IF(D221="quote",E221,G221)&amp;"|"&amp;LOWER(TRIM(K221)),"")</f>
        <v/>
      </c>
      <c r="X221" s="2">
        <f>IF(OR(O221="LABOUR",O221="INSTALL"),"LABOUR_ALL",IF(O221="","",O221))</f>
        <v/>
      </c>
      <c r="Y221" s="9">
        <f>IF(AND(A221="line",D221="quote"),SUMIFS($N$2:$N$500,$W$2:$W$500,W221,$D$2:$D$500,"invoice",$A$2:$A$500,"line"),"")</f>
        <v/>
      </c>
      <c r="Z221" s="2">
        <f>IF(AND(A221="line",D221="quote"),COUNTIFS($W$2:$W$500,W221,$D$2:$D$500,"invoice",$A$2:$A$500,"line"),"")</f>
        <v/>
      </c>
      <c r="AA221" s="2">
        <f>IF(AND(A221="line",D221="invoice"),COUNTIFS($W$2:$W$500,W221,$D$2:$D$500,"quote",$A$2:$A$500,"line"),"")</f>
        <v/>
      </c>
      <c r="AB221" s="2">
        <f>IF(A221&lt;&gt;"line","",IF(D221="quote",IF(Z221=0,"quote only",IF(ABS(Y221-N221)&gt;Settings!$B$2,"amount differs","match")),IF(AA221=0,"invoice only","match")))</f>
        <v/>
      </c>
      <c r="AC221" s="2">
        <f>IF(AND(A221="line",AB221&lt;&gt;"match",COUNTIFS($A$2:$A$500,"coverage",$B$2:$B$500,B221,$C$2:$C$500,C221,$D$2:$D$500,"invoice")&gt;0),MAX($AC$1:AC220)+1,"")</f>
        <v/>
      </c>
      <c r="AD221" s="2">
        <f>IF(A221&lt;&gt;"line","",IF(O221="UNMAPPED","no mapping rule",IF(P221="L","low confidence","")))</f>
        <v/>
      </c>
      <c r="AE221" s="2">
        <f>IF(AD221&lt;&gt;"",MAX($AE$1:AE220)+1,"")</f>
        <v/>
      </c>
      <c r="AF221" s="2">
        <f>IF(A221="coverage",MAX($AF$1:AF220)+1,"")</f>
        <v/>
      </c>
      <c r="AG221" s="2">
        <f>IF(A221="line",IF(COUNTIFS($B$1:B220,B221,$C$1:C220,C221,$A$1:A220,"line")=0,MAX($AG$1:AG220)+1,""),"")</f>
        <v/>
      </c>
    </row>
    <row r="222">
      <c r="W222" s="2">
        <f>IF(A222="line",IF(D222="quote",E222,G222)&amp;"|"&amp;LOWER(TRIM(K222)),"")</f>
        <v/>
      </c>
      <c r="X222" s="2">
        <f>IF(OR(O222="LABOUR",O222="INSTALL"),"LABOUR_ALL",IF(O222="","",O222))</f>
        <v/>
      </c>
      <c r="Y222" s="9">
        <f>IF(AND(A222="line",D222="quote"),SUMIFS($N$2:$N$500,$W$2:$W$500,W222,$D$2:$D$500,"invoice",$A$2:$A$500,"line"),"")</f>
        <v/>
      </c>
      <c r="Z222" s="2">
        <f>IF(AND(A222="line",D222="quote"),COUNTIFS($W$2:$W$500,W222,$D$2:$D$500,"invoice",$A$2:$A$500,"line"),"")</f>
        <v/>
      </c>
      <c r="AA222" s="2">
        <f>IF(AND(A222="line",D222="invoice"),COUNTIFS($W$2:$W$500,W222,$D$2:$D$500,"quote",$A$2:$A$500,"line"),"")</f>
        <v/>
      </c>
      <c r="AB222" s="2">
        <f>IF(A222&lt;&gt;"line","",IF(D222="quote",IF(Z222=0,"quote only",IF(ABS(Y222-N222)&gt;Settings!$B$2,"amount differs","match")),IF(AA222=0,"invoice only","match")))</f>
        <v/>
      </c>
      <c r="AC222" s="2">
        <f>IF(AND(A222="line",AB222&lt;&gt;"match",COUNTIFS($A$2:$A$500,"coverage",$B$2:$B$500,B222,$C$2:$C$500,C222,$D$2:$D$500,"invoice")&gt;0),MAX($AC$1:AC221)+1,"")</f>
        <v/>
      </c>
      <c r="AD222" s="2">
        <f>IF(A222&lt;&gt;"line","",IF(O222="UNMAPPED","no mapping rule",IF(P222="L","low confidence","")))</f>
        <v/>
      </c>
      <c r="AE222" s="2">
        <f>IF(AD222&lt;&gt;"",MAX($AE$1:AE221)+1,"")</f>
        <v/>
      </c>
      <c r="AF222" s="2">
        <f>IF(A222="coverage",MAX($AF$1:AF221)+1,"")</f>
        <v/>
      </c>
      <c r="AG222" s="2">
        <f>IF(A222="line",IF(COUNTIFS($B$1:B221,B222,$C$1:C221,C222,$A$1:A221,"line")=0,MAX($AG$1:AG221)+1,""),"")</f>
        <v/>
      </c>
    </row>
    <row r="223">
      <c r="W223" s="2">
        <f>IF(A223="line",IF(D223="quote",E223,G223)&amp;"|"&amp;LOWER(TRIM(K223)),"")</f>
        <v/>
      </c>
      <c r="X223" s="2">
        <f>IF(OR(O223="LABOUR",O223="INSTALL"),"LABOUR_ALL",IF(O223="","",O223))</f>
        <v/>
      </c>
      <c r="Y223" s="9">
        <f>IF(AND(A223="line",D223="quote"),SUMIFS($N$2:$N$500,$W$2:$W$500,W223,$D$2:$D$500,"invoice",$A$2:$A$500,"line"),"")</f>
        <v/>
      </c>
      <c r="Z223" s="2">
        <f>IF(AND(A223="line",D223="quote"),COUNTIFS($W$2:$W$500,W223,$D$2:$D$500,"invoice",$A$2:$A$500,"line"),"")</f>
        <v/>
      </c>
      <c r="AA223" s="2">
        <f>IF(AND(A223="line",D223="invoice"),COUNTIFS($W$2:$W$500,W223,$D$2:$D$500,"quote",$A$2:$A$500,"line"),"")</f>
        <v/>
      </c>
      <c r="AB223" s="2">
        <f>IF(A223&lt;&gt;"line","",IF(D223="quote",IF(Z223=0,"quote only",IF(ABS(Y223-N223)&gt;Settings!$B$2,"amount differs","match")),IF(AA223=0,"invoice only","match")))</f>
        <v/>
      </c>
      <c r="AC223" s="2">
        <f>IF(AND(A223="line",AB223&lt;&gt;"match",COUNTIFS($A$2:$A$500,"coverage",$B$2:$B$500,B223,$C$2:$C$500,C223,$D$2:$D$500,"invoice")&gt;0),MAX($AC$1:AC222)+1,"")</f>
        <v/>
      </c>
      <c r="AD223" s="2">
        <f>IF(A223&lt;&gt;"line","",IF(O223="UNMAPPED","no mapping rule",IF(P223="L","low confidence","")))</f>
        <v/>
      </c>
      <c r="AE223" s="2">
        <f>IF(AD223&lt;&gt;"",MAX($AE$1:AE222)+1,"")</f>
        <v/>
      </c>
      <c r="AF223" s="2">
        <f>IF(A223="coverage",MAX($AF$1:AF222)+1,"")</f>
        <v/>
      </c>
      <c r="AG223" s="2">
        <f>IF(A223="line",IF(COUNTIFS($B$1:B222,B223,$C$1:C222,C223,$A$1:A222,"line")=0,MAX($AG$1:AG222)+1,""),"")</f>
        <v/>
      </c>
    </row>
    <row r="224">
      <c r="W224" s="2">
        <f>IF(A224="line",IF(D224="quote",E224,G224)&amp;"|"&amp;LOWER(TRIM(K224)),"")</f>
        <v/>
      </c>
      <c r="X224" s="2">
        <f>IF(OR(O224="LABOUR",O224="INSTALL"),"LABOUR_ALL",IF(O224="","",O224))</f>
        <v/>
      </c>
      <c r="Y224" s="9">
        <f>IF(AND(A224="line",D224="quote"),SUMIFS($N$2:$N$500,$W$2:$W$500,W224,$D$2:$D$500,"invoice",$A$2:$A$500,"line"),"")</f>
        <v/>
      </c>
      <c r="Z224" s="2">
        <f>IF(AND(A224="line",D224="quote"),COUNTIFS($W$2:$W$500,W224,$D$2:$D$500,"invoice",$A$2:$A$500,"line"),"")</f>
        <v/>
      </c>
      <c r="AA224" s="2">
        <f>IF(AND(A224="line",D224="invoice"),COUNTIFS($W$2:$W$500,W224,$D$2:$D$500,"quote",$A$2:$A$500,"line"),"")</f>
        <v/>
      </c>
      <c r="AB224" s="2">
        <f>IF(A224&lt;&gt;"line","",IF(D224="quote",IF(Z224=0,"quote only",IF(ABS(Y224-N224)&gt;Settings!$B$2,"amount differs","match")),IF(AA224=0,"invoice only","match")))</f>
        <v/>
      </c>
      <c r="AC224" s="2">
        <f>IF(AND(A224="line",AB224&lt;&gt;"match",COUNTIFS($A$2:$A$500,"coverage",$B$2:$B$500,B224,$C$2:$C$500,C224,$D$2:$D$500,"invoice")&gt;0),MAX($AC$1:AC223)+1,"")</f>
        <v/>
      </c>
      <c r="AD224" s="2">
        <f>IF(A224&lt;&gt;"line","",IF(O224="UNMAPPED","no mapping rule",IF(P224="L","low confidence","")))</f>
        <v/>
      </c>
      <c r="AE224" s="2">
        <f>IF(AD224&lt;&gt;"",MAX($AE$1:AE223)+1,"")</f>
        <v/>
      </c>
      <c r="AF224" s="2">
        <f>IF(A224="coverage",MAX($AF$1:AF223)+1,"")</f>
        <v/>
      </c>
      <c r="AG224" s="2">
        <f>IF(A224="line",IF(COUNTIFS($B$1:B223,B224,$C$1:C223,C224,$A$1:A223,"line")=0,MAX($AG$1:AG223)+1,""),"")</f>
        <v/>
      </c>
    </row>
    <row r="225">
      <c r="W225" s="2">
        <f>IF(A225="line",IF(D225="quote",E225,G225)&amp;"|"&amp;LOWER(TRIM(K225)),"")</f>
        <v/>
      </c>
      <c r="X225" s="2">
        <f>IF(OR(O225="LABOUR",O225="INSTALL"),"LABOUR_ALL",IF(O225="","",O225))</f>
        <v/>
      </c>
      <c r="Y225" s="9">
        <f>IF(AND(A225="line",D225="quote"),SUMIFS($N$2:$N$500,$W$2:$W$500,W225,$D$2:$D$500,"invoice",$A$2:$A$500,"line"),"")</f>
        <v/>
      </c>
      <c r="Z225" s="2">
        <f>IF(AND(A225="line",D225="quote"),COUNTIFS($W$2:$W$500,W225,$D$2:$D$500,"invoice",$A$2:$A$500,"line"),"")</f>
        <v/>
      </c>
      <c r="AA225" s="2">
        <f>IF(AND(A225="line",D225="invoice"),COUNTIFS($W$2:$W$500,W225,$D$2:$D$500,"quote",$A$2:$A$500,"line"),"")</f>
        <v/>
      </c>
      <c r="AB225" s="2">
        <f>IF(A225&lt;&gt;"line","",IF(D225="quote",IF(Z225=0,"quote only",IF(ABS(Y225-N225)&gt;Settings!$B$2,"amount differs","match")),IF(AA225=0,"invoice only","match")))</f>
        <v/>
      </c>
      <c r="AC225" s="2">
        <f>IF(AND(A225="line",AB225&lt;&gt;"match",COUNTIFS($A$2:$A$500,"coverage",$B$2:$B$500,B225,$C$2:$C$500,C225,$D$2:$D$500,"invoice")&gt;0),MAX($AC$1:AC224)+1,"")</f>
        <v/>
      </c>
      <c r="AD225" s="2">
        <f>IF(A225&lt;&gt;"line","",IF(O225="UNMAPPED","no mapping rule",IF(P225="L","low confidence","")))</f>
        <v/>
      </c>
      <c r="AE225" s="2">
        <f>IF(AD225&lt;&gt;"",MAX($AE$1:AE224)+1,"")</f>
        <v/>
      </c>
      <c r="AF225" s="2">
        <f>IF(A225="coverage",MAX($AF$1:AF224)+1,"")</f>
        <v/>
      </c>
      <c r="AG225" s="2">
        <f>IF(A225="line",IF(COUNTIFS($B$1:B224,B225,$C$1:C224,C225,$A$1:A224,"line")=0,MAX($AG$1:AG224)+1,""),"")</f>
        <v/>
      </c>
    </row>
    <row r="226">
      <c r="W226" s="2">
        <f>IF(A226="line",IF(D226="quote",E226,G226)&amp;"|"&amp;LOWER(TRIM(K226)),"")</f>
        <v/>
      </c>
      <c r="X226" s="2">
        <f>IF(OR(O226="LABOUR",O226="INSTALL"),"LABOUR_ALL",IF(O226="","",O226))</f>
        <v/>
      </c>
      <c r="Y226" s="9">
        <f>IF(AND(A226="line",D226="quote"),SUMIFS($N$2:$N$500,$W$2:$W$500,W226,$D$2:$D$500,"invoice",$A$2:$A$500,"line"),"")</f>
        <v/>
      </c>
      <c r="Z226" s="2">
        <f>IF(AND(A226="line",D226="quote"),COUNTIFS($W$2:$W$500,W226,$D$2:$D$500,"invoice",$A$2:$A$500,"line"),"")</f>
        <v/>
      </c>
      <c r="AA226" s="2">
        <f>IF(AND(A226="line",D226="invoice"),COUNTIFS($W$2:$W$500,W226,$D$2:$D$500,"quote",$A$2:$A$500,"line"),"")</f>
        <v/>
      </c>
      <c r="AB226" s="2">
        <f>IF(A226&lt;&gt;"line","",IF(D226="quote",IF(Z226=0,"quote only",IF(ABS(Y226-N226)&gt;Settings!$B$2,"amount differs","match")),IF(AA226=0,"invoice only","match")))</f>
        <v/>
      </c>
      <c r="AC226" s="2">
        <f>IF(AND(A226="line",AB226&lt;&gt;"match",COUNTIFS($A$2:$A$500,"coverage",$B$2:$B$500,B226,$C$2:$C$500,C226,$D$2:$D$500,"invoice")&gt;0),MAX($AC$1:AC225)+1,"")</f>
        <v/>
      </c>
      <c r="AD226" s="2">
        <f>IF(A226&lt;&gt;"line","",IF(O226="UNMAPPED","no mapping rule",IF(P226="L","low confidence","")))</f>
        <v/>
      </c>
      <c r="AE226" s="2">
        <f>IF(AD226&lt;&gt;"",MAX($AE$1:AE225)+1,"")</f>
        <v/>
      </c>
      <c r="AF226" s="2">
        <f>IF(A226="coverage",MAX($AF$1:AF225)+1,"")</f>
        <v/>
      </c>
      <c r="AG226" s="2">
        <f>IF(A226="line",IF(COUNTIFS($B$1:B225,B226,$C$1:C225,C226,$A$1:A225,"line")=0,MAX($AG$1:AG225)+1,""),"")</f>
        <v/>
      </c>
    </row>
    <row r="227">
      <c r="W227" s="2">
        <f>IF(A227="line",IF(D227="quote",E227,G227)&amp;"|"&amp;LOWER(TRIM(K227)),"")</f>
        <v/>
      </c>
      <c r="X227" s="2">
        <f>IF(OR(O227="LABOUR",O227="INSTALL"),"LABOUR_ALL",IF(O227="","",O227))</f>
        <v/>
      </c>
      <c r="Y227" s="9">
        <f>IF(AND(A227="line",D227="quote"),SUMIFS($N$2:$N$500,$W$2:$W$500,W227,$D$2:$D$500,"invoice",$A$2:$A$500,"line"),"")</f>
        <v/>
      </c>
      <c r="Z227" s="2">
        <f>IF(AND(A227="line",D227="quote"),COUNTIFS($W$2:$W$500,W227,$D$2:$D$500,"invoice",$A$2:$A$500,"line"),"")</f>
        <v/>
      </c>
      <c r="AA227" s="2">
        <f>IF(AND(A227="line",D227="invoice"),COUNTIFS($W$2:$W$500,W227,$D$2:$D$500,"quote",$A$2:$A$500,"line"),"")</f>
        <v/>
      </c>
      <c r="AB227" s="2">
        <f>IF(A227&lt;&gt;"line","",IF(D227="quote",IF(Z227=0,"quote only",IF(ABS(Y227-N227)&gt;Settings!$B$2,"amount differs","match")),IF(AA227=0,"invoice only","match")))</f>
        <v/>
      </c>
      <c r="AC227" s="2">
        <f>IF(AND(A227="line",AB227&lt;&gt;"match",COUNTIFS($A$2:$A$500,"coverage",$B$2:$B$500,B227,$C$2:$C$500,C227,$D$2:$D$500,"invoice")&gt;0),MAX($AC$1:AC226)+1,"")</f>
        <v/>
      </c>
      <c r="AD227" s="2">
        <f>IF(A227&lt;&gt;"line","",IF(O227="UNMAPPED","no mapping rule",IF(P227="L","low confidence","")))</f>
        <v/>
      </c>
      <c r="AE227" s="2">
        <f>IF(AD227&lt;&gt;"",MAX($AE$1:AE226)+1,"")</f>
        <v/>
      </c>
      <c r="AF227" s="2">
        <f>IF(A227="coverage",MAX($AF$1:AF226)+1,"")</f>
        <v/>
      </c>
      <c r="AG227" s="2">
        <f>IF(A227="line",IF(COUNTIFS($B$1:B226,B227,$C$1:C226,C227,$A$1:A226,"line")=0,MAX($AG$1:AG226)+1,""),"")</f>
        <v/>
      </c>
    </row>
    <row r="228">
      <c r="W228" s="2">
        <f>IF(A228="line",IF(D228="quote",E228,G228)&amp;"|"&amp;LOWER(TRIM(K228)),"")</f>
        <v/>
      </c>
      <c r="X228" s="2">
        <f>IF(OR(O228="LABOUR",O228="INSTALL"),"LABOUR_ALL",IF(O228="","",O228))</f>
        <v/>
      </c>
      <c r="Y228" s="9">
        <f>IF(AND(A228="line",D228="quote"),SUMIFS($N$2:$N$500,$W$2:$W$500,W228,$D$2:$D$500,"invoice",$A$2:$A$500,"line"),"")</f>
        <v/>
      </c>
      <c r="Z228" s="2">
        <f>IF(AND(A228="line",D228="quote"),COUNTIFS($W$2:$W$500,W228,$D$2:$D$500,"invoice",$A$2:$A$500,"line"),"")</f>
        <v/>
      </c>
      <c r="AA228" s="2">
        <f>IF(AND(A228="line",D228="invoice"),COUNTIFS($W$2:$W$500,W228,$D$2:$D$500,"quote",$A$2:$A$500,"line"),"")</f>
        <v/>
      </c>
      <c r="AB228" s="2">
        <f>IF(A228&lt;&gt;"line","",IF(D228="quote",IF(Z228=0,"quote only",IF(ABS(Y228-N228)&gt;Settings!$B$2,"amount differs","match")),IF(AA228=0,"invoice only","match")))</f>
        <v/>
      </c>
      <c r="AC228" s="2">
        <f>IF(AND(A228="line",AB228&lt;&gt;"match",COUNTIFS($A$2:$A$500,"coverage",$B$2:$B$500,B228,$C$2:$C$500,C228,$D$2:$D$500,"invoice")&gt;0),MAX($AC$1:AC227)+1,"")</f>
        <v/>
      </c>
      <c r="AD228" s="2">
        <f>IF(A228&lt;&gt;"line","",IF(O228="UNMAPPED","no mapping rule",IF(P228="L","low confidence","")))</f>
        <v/>
      </c>
      <c r="AE228" s="2">
        <f>IF(AD228&lt;&gt;"",MAX($AE$1:AE227)+1,"")</f>
        <v/>
      </c>
      <c r="AF228" s="2">
        <f>IF(A228="coverage",MAX($AF$1:AF227)+1,"")</f>
        <v/>
      </c>
      <c r="AG228" s="2">
        <f>IF(A228="line",IF(COUNTIFS($B$1:B227,B228,$C$1:C227,C228,$A$1:A227,"line")=0,MAX($AG$1:AG227)+1,""),"")</f>
        <v/>
      </c>
    </row>
    <row r="229">
      <c r="W229" s="2">
        <f>IF(A229="line",IF(D229="quote",E229,G229)&amp;"|"&amp;LOWER(TRIM(K229)),"")</f>
        <v/>
      </c>
      <c r="X229" s="2">
        <f>IF(OR(O229="LABOUR",O229="INSTALL"),"LABOUR_ALL",IF(O229="","",O229))</f>
        <v/>
      </c>
      <c r="Y229" s="9">
        <f>IF(AND(A229="line",D229="quote"),SUMIFS($N$2:$N$500,$W$2:$W$500,W229,$D$2:$D$500,"invoice",$A$2:$A$500,"line"),"")</f>
        <v/>
      </c>
      <c r="Z229" s="2">
        <f>IF(AND(A229="line",D229="quote"),COUNTIFS($W$2:$W$500,W229,$D$2:$D$500,"invoice",$A$2:$A$500,"line"),"")</f>
        <v/>
      </c>
      <c r="AA229" s="2">
        <f>IF(AND(A229="line",D229="invoice"),COUNTIFS($W$2:$W$500,W229,$D$2:$D$500,"quote",$A$2:$A$500,"line"),"")</f>
        <v/>
      </c>
      <c r="AB229" s="2">
        <f>IF(A229&lt;&gt;"line","",IF(D229="quote",IF(Z229=0,"quote only",IF(ABS(Y229-N229)&gt;Settings!$B$2,"amount differs","match")),IF(AA229=0,"invoice only","match")))</f>
        <v/>
      </c>
      <c r="AC229" s="2">
        <f>IF(AND(A229="line",AB229&lt;&gt;"match",COUNTIFS($A$2:$A$500,"coverage",$B$2:$B$500,B229,$C$2:$C$500,C229,$D$2:$D$500,"invoice")&gt;0),MAX($AC$1:AC228)+1,"")</f>
        <v/>
      </c>
      <c r="AD229" s="2">
        <f>IF(A229&lt;&gt;"line","",IF(O229="UNMAPPED","no mapping rule",IF(P229="L","low confidence","")))</f>
        <v/>
      </c>
      <c r="AE229" s="2">
        <f>IF(AD229&lt;&gt;"",MAX($AE$1:AE228)+1,"")</f>
        <v/>
      </c>
      <c r="AF229" s="2">
        <f>IF(A229="coverage",MAX($AF$1:AF228)+1,"")</f>
        <v/>
      </c>
      <c r="AG229" s="2">
        <f>IF(A229="line",IF(COUNTIFS($B$1:B228,B229,$C$1:C228,C229,$A$1:A228,"line")=0,MAX($AG$1:AG228)+1,""),"")</f>
        <v/>
      </c>
    </row>
    <row r="230">
      <c r="W230" s="2">
        <f>IF(A230="line",IF(D230="quote",E230,G230)&amp;"|"&amp;LOWER(TRIM(K230)),"")</f>
        <v/>
      </c>
      <c r="X230" s="2">
        <f>IF(OR(O230="LABOUR",O230="INSTALL"),"LABOUR_ALL",IF(O230="","",O230))</f>
        <v/>
      </c>
      <c r="Y230" s="9">
        <f>IF(AND(A230="line",D230="quote"),SUMIFS($N$2:$N$500,$W$2:$W$500,W230,$D$2:$D$500,"invoice",$A$2:$A$500,"line"),"")</f>
        <v/>
      </c>
      <c r="Z230" s="2">
        <f>IF(AND(A230="line",D230="quote"),COUNTIFS($W$2:$W$500,W230,$D$2:$D$500,"invoice",$A$2:$A$500,"line"),"")</f>
        <v/>
      </c>
      <c r="AA230" s="2">
        <f>IF(AND(A230="line",D230="invoice"),COUNTIFS($W$2:$W$500,W230,$D$2:$D$500,"quote",$A$2:$A$500,"line"),"")</f>
        <v/>
      </c>
      <c r="AB230" s="2">
        <f>IF(A230&lt;&gt;"line","",IF(D230="quote",IF(Z230=0,"quote only",IF(ABS(Y230-N230)&gt;Settings!$B$2,"amount differs","match")),IF(AA230=0,"invoice only","match")))</f>
        <v/>
      </c>
      <c r="AC230" s="2">
        <f>IF(AND(A230="line",AB230&lt;&gt;"match",COUNTIFS($A$2:$A$500,"coverage",$B$2:$B$500,B230,$C$2:$C$500,C230,$D$2:$D$500,"invoice")&gt;0),MAX($AC$1:AC229)+1,"")</f>
        <v/>
      </c>
      <c r="AD230" s="2">
        <f>IF(A230&lt;&gt;"line","",IF(O230="UNMAPPED","no mapping rule",IF(P230="L","low confidence","")))</f>
        <v/>
      </c>
      <c r="AE230" s="2">
        <f>IF(AD230&lt;&gt;"",MAX($AE$1:AE229)+1,"")</f>
        <v/>
      </c>
      <c r="AF230" s="2">
        <f>IF(A230="coverage",MAX($AF$1:AF229)+1,"")</f>
        <v/>
      </c>
      <c r="AG230" s="2">
        <f>IF(A230="line",IF(COUNTIFS($B$1:B229,B230,$C$1:C229,C230,$A$1:A229,"line")=0,MAX($AG$1:AG229)+1,""),"")</f>
        <v/>
      </c>
    </row>
    <row r="231">
      <c r="W231" s="2">
        <f>IF(A231="line",IF(D231="quote",E231,G231)&amp;"|"&amp;LOWER(TRIM(K231)),"")</f>
        <v/>
      </c>
      <c r="X231" s="2">
        <f>IF(OR(O231="LABOUR",O231="INSTALL"),"LABOUR_ALL",IF(O231="","",O231))</f>
        <v/>
      </c>
      <c r="Y231" s="9">
        <f>IF(AND(A231="line",D231="quote"),SUMIFS($N$2:$N$500,$W$2:$W$500,W231,$D$2:$D$500,"invoice",$A$2:$A$500,"line"),"")</f>
        <v/>
      </c>
      <c r="Z231" s="2">
        <f>IF(AND(A231="line",D231="quote"),COUNTIFS($W$2:$W$500,W231,$D$2:$D$500,"invoice",$A$2:$A$500,"line"),"")</f>
        <v/>
      </c>
      <c r="AA231" s="2">
        <f>IF(AND(A231="line",D231="invoice"),COUNTIFS($W$2:$W$500,W231,$D$2:$D$500,"quote",$A$2:$A$500,"line"),"")</f>
        <v/>
      </c>
      <c r="AB231" s="2">
        <f>IF(A231&lt;&gt;"line","",IF(D231="quote",IF(Z231=0,"quote only",IF(ABS(Y231-N231)&gt;Settings!$B$2,"amount differs","match")),IF(AA231=0,"invoice only","match")))</f>
        <v/>
      </c>
      <c r="AC231" s="2">
        <f>IF(AND(A231="line",AB231&lt;&gt;"match",COUNTIFS($A$2:$A$500,"coverage",$B$2:$B$500,B231,$C$2:$C$500,C231,$D$2:$D$500,"invoice")&gt;0),MAX($AC$1:AC230)+1,"")</f>
        <v/>
      </c>
      <c r="AD231" s="2">
        <f>IF(A231&lt;&gt;"line","",IF(O231="UNMAPPED","no mapping rule",IF(P231="L","low confidence","")))</f>
        <v/>
      </c>
      <c r="AE231" s="2">
        <f>IF(AD231&lt;&gt;"",MAX($AE$1:AE230)+1,"")</f>
        <v/>
      </c>
      <c r="AF231" s="2">
        <f>IF(A231="coverage",MAX($AF$1:AF230)+1,"")</f>
        <v/>
      </c>
      <c r="AG231" s="2">
        <f>IF(A231="line",IF(COUNTIFS($B$1:B230,B231,$C$1:C230,C231,$A$1:A230,"line")=0,MAX($AG$1:AG230)+1,""),"")</f>
        <v/>
      </c>
    </row>
    <row r="232">
      <c r="W232" s="2">
        <f>IF(A232="line",IF(D232="quote",E232,G232)&amp;"|"&amp;LOWER(TRIM(K232)),"")</f>
        <v/>
      </c>
      <c r="X232" s="2">
        <f>IF(OR(O232="LABOUR",O232="INSTALL"),"LABOUR_ALL",IF(O232="","",O232))</f>
        <v/>
      </c>
      <c r="Y232" s="9">
        <f>IF(AND(A232="line",D232="quote"),SUMIFS($N$2:$N$500,$W$2:$W$500,W232,$D$2:$D$500,"invoice",$A$2:$A$500,"line"),"")</f>
        <v/>
      </c>
      <c r="Z232" s="2">
        <f>IF(AND(A232="line",D232="quote"),COUNTIFS($W$2:$W$500,W232,$D$2:$D$500,"invoice",$A$2:$A$500,"line"),"")</f>
        <v/>
      </c>
      <c r="AA232" s="2">
        <f>IF(AND(A232="line",D232="invoice"),COUNTIFS($W$2:$W$500,W232,$D$2:$D$500,"quote",$A$2:$A$500,"line"),"")</f>
        <v/>
      </c>
      <c r="AB232" s="2">
        <f>IF(A232&lt;&gt;"line","",IF(D232="quote",IF(Z232=0,"quote only",IF(ABS(Y232-N232)&gt;Settings!$B$2,"amount differs","match")),IF(AA232=0,"invoice only","match")))</f>
        <v/>
      </c>
      <c r="AC232" s="2">
        <f>IF(AND(A232="line",AB232&lt;&gt;"match",COUNTIFS($A$2:$A$500,"coverage",$B$2:$B$500,B232,$C$2:$C$500,C232,$D$2:$D$500,"invoice")&gt;0),MAX($AC$1:AC231)+1,"")</f>
        <v/>
      </c>
      <c r="AD232" s="2">
        <f>IF(A232&lt;&gt;"line","",IF(O232="UNMAPPED","no mapping rule",IF(P232="L","low confidence","")))</f>
        <v/>
      </c>
      <c r="AE232" s="2">
        <f>IF(AD232&lt;&gt;"",MAX($AE$1:AE231)+1,"")</f>
        <v/>
      </c>
      <c r="AF232" s="2">
        <f>IF(A232="coverage",MAX($AF$1:AF231)+1,"")</f>
        <v/>
      </c>
      <c r="AG232" s="2">
        <f>IF(A232="line",IF(COUNTIFS($B$1:B231,B232,$C$1:C231,C232,$A$1:A231,"line")=0,MAX($AG$1:AG231)+1,""),"")</f>
        <v/>
      </c>
    </row>
    <row r="233">
      <c r="W233" s="2">
        <f>IF(A233="line",IF(D233="quote",E233,G233)&amp;"|"&amp;LOWER(TRIM(K233)),"")</f>
        <v/>
      </c>
      <c r="X233" s="2">
        <f>IF(OR(O233="LABOUR",O233="INSTALL"),"LABOUR_ALL",IF(O233="","",O233))</f>
        <v/>
      </c>
      <c r="Y233" s="9">
        <f>IF(AND(A233="line",D233="quote"),SUMIFS($N$2:$N$500,$W$2:$W$500,W233,$D$2:$D$500,"invoice",$A$2:$A$500,"line"),"")</f>
        <v/>
      </c>
      <c r="Z233" s="2">
        <f>IF(AND(A233="line",D233="quote"),COUNTIFS($W$2:$W$500,W233,$D$2:$D$500,"invoice",$A$2:$A$500,"line"),"")</f>
        <v/>
      </c>
      <c r="AA233" s="2">
        <f>IF(AND(A233="line",D233="invoice"),COUNTIFS($W$2:$W$500,W233,$D$2:$D$500,"quote",$A$2:$A$500,"line"),"")</f>
        <v/>
      </c>
      <c r="AB233" s="2">
        <f>IF(A233&lt;&gt;"line","",IF(D233="quote",IF(Z233=0,"quote only",IF(ABS(Y233-N233)&gt;Settings!$B$2,"amount differs","match")),IF(AA233=0,"invoice only","match")))</f>
        <v/>
      </c>
      <c r="AC233" s="2">
        <f>IF(AND(A233="line",AB233&lt;&gt;"match",COUNTIFS($A$2:$A$500,"coverage",$B$2:$B$500,B233,$C$2:$C$500,C233,$D$2:$D$500,"invoice")&gt;0),MAX($AC$1:AC232)+1,"")</f>
        <v/>
      </c>
      <c r="AD233" s="2">
        <f>IF(A233&lt;&gt;"line","",IF(O233="UNMAPPED","no mapping rule",IF(P233="L","low confidence","")))</f>
        <v/>
      </c>
      <c r="AE233" s="2">
        <f>IF(AD233&lt;&gt;"",MAX($AE$1:AE232)+1,"")</f>
        <v/>
      </c>
      <c r="AF233" s="2">
        <f>IF(A233="coverage",MAX($AF$1:AF232)+1,"")</f>
        <v/>
      </c>
      <c r="AG233" s="2">
        <f>IF(A233="line",IF(COUNTIFS($B$1:B232,B233,$C$1:C232,C233,$A$1:A232,"line")=0,MAX($AG$1:AG232)+1,""),"")</f>
        <v/>
      </c>
    </row>
    <row r="234">
      <c r="W234" s="2">
        <f>IF(A234="line",IF(D234="quote",E234,G234)&amp;"|"&amp;LOWER(TRIM(K234)),"")</f>
        <v/>
      </c>
      <c r="X234" s="2">
        <f>IF(OR(O234="LABOUR",O234="INSTALL"),"LABOUR_ALL",IF(O234="","",O234))</f>
        <v/>
      </c>
      <c r="Y234" s="9">
        <f>IF(AND(A234="line",D234="quote"),SUMIFS($N$2:$N$500,$W$2:$W$500,W234,$D$2:$D$500,"invoice",$A$2:$A$500,"line"),"")</f>
        <v/>
      </c>
      <c r="Z234" s="2">
        <f>IF(AND(A234="line",D234="quote"),COUNTIFS($W$2:$W$500,W234,$D$2:$D$500,"invoice",$A$2:$A$500,"line"),"")</f>
        <v/>
      </c>
      <c r="AA234" s="2">
        <f>IF(AND(A234="line",D234="invoice"),COUNTIFS($W$2:$W$500,W234,$D$2:$D$500,"quote",$A$2:$A$500,"line"),"")</f>
        <v/>
      </c>
      <c r="AB234" s="2">
        <f>IF(A234&lt;&gt;"line","",IF(D234="quote",IF(Z234=0,"quote only",IF(ABS(Y234-N234)&gt;Settings!$B$2,"amount differs","match")),IF(AA234=0,"invoice only","match")))</f>
        <v/>
      </c>
      <c r="AC234" s="2">
        <f>IF(AND(A234="line",AB234&lt;&gt;"match",COUNTIFS($A$2:$A$500,"coverage",$B$2:$B$500,B234,$C$2:$C$500,C234,$D$2:$D$500,"invoice")&gt;0),MAX($AC$1:AC233)+1,"")</f>
        <v/>
      </c>
      <c r="AD234" s="2">
        <f>IF(A234&lt;&gt;"line","",IF(O234="UNMAPPED","no mapping rule",IF(P234="L","low confidence","")))</f>
        <v/>
      </c>
      <c r="AE234" s="2">
        <f>IF(AD234&lt;&gt;"",MAX($AE$1:AE233)+1,"")</f>
        <v/>
      </c>
      <c r="AF234" s="2">
        <f>IF(A234="coverage",MAX($AF$1:AF233)+1,"")</f>
        <v/>
      </c>
      <c r="AG234" s="2">
        <f>IF(A234="line",IF(COUNTIFS($B$1:B233,B234,$C$1:C233,C234,$A$1:A233,"line")=0,MAX($AG$1:AG233)+1,""),"")</f>
        <v/>
      </c>
    </row>
    <row r="235">
      <c r="W235" s="2">
        <f>IF(A235="line",IF(D235="quote",E235,G235)&amp;"|"&amp;LOWER(TRIM(K235)),"")</f>
        <v/>
      </c>
      <c r="X235" s="2">
        <f>IF(OR(O235="LABOUR",O235="INSTALL"),"LABOUR_ALL",IF(O235="","",O235))</f>
        <v/>
      </c>
      <c r="Y235" s="9">
        <f>IF(AND(A235="line",D235="quote"),SUMIFS($N$2:$N$500,$W$2:$W$500,W235,$D$2:$D$500,"invoice",$A$2:$A$500,"line"),"")</f>
        <v/>
      </c>
      <c r="Z235" s="2">
        <f>IF(AND(A235="line",D235="quote"),COUNTIFS($W$2:$W$500,W235,$D$2:$D$500,"invoice",$A$2:$A$500,"line"),"")</f>
        <v/>
      </c>
      <c r="AA235" s="2">
        <f>IF(AND(A235="line",D235="invoice"),COUNTIFS($W$2:$W$500,W235,$D$2:$D$500,"quote",$A$2:$A$500,"line"),"")</f>
        <v/>
      </c>
      <c r="AB235" s="2">
        <f>IF(A235&lt;&gt;"line","",IF(D235="quote",IF(Z235=0,"quote only",IF(ABS(Y235-N235)&gt;Settings!$B$2,"amount differs","match")),IF(AA235=0,"invoice only","match")))</f>
        <v/>
      </c>
      <c r="AC235" s="2">
        <f>IF(AND(A235="line",AB235&lt;&gt;"match",COUNTIFS($A$2:$A$500,"coverage",$B$2:$B$500,B235,$C$2:$C$500,C235,$D$2:$D$500,"invoice")&gt;0),MAX($AC$1:AC234)+1,"")</f>
        <v/>
      </c>
      <c r="AD235" s="2">
        <f>IF(A235&lt;&gt;"line","",IF(O235="UNMAPPED","no mapping rule",IF(P235="L","low confidence","")))</f>
        <v/>
      </c>
      <c r="AE235" s="2">
        <f>IF(AD235&lt;&gt;"",MAX($AE$1:AE234)+1,"")</f>
        <v/>
      </c>
      <c r="AF235" s="2">
        <f>IF(A235="coverage",MAX($AF$1:AF234)+1,"")</f>
        <v/>
      </c>
      <c r="AG235" s="2">
        <f>IF(A235="line",IF(COUNTIFS($B$1:B234,B235,$C$1:C234,C235,$A$1:A234,"line")=0,MAX($AG$1:AG234)+1,""),"")</f>
        <v/>
      </c>
    </row>
    <row r="236">
      <c r="W236" s="2">
        <f>IF(A236="line",IF(D236="quote",E236,G236)&amp;"|"&amp;LOWER(TRIM(K236)),"")</f>
        <v/>
      </c>
      <c r="X236" s="2">
        <f>IF(OR(O236="LABOUR",O236="INSTALL"),"LABOUR_ALL",IF(O236="","",O236))</f>
        <v/>
      </c>
      <c r="Y236" s="9">
        <f>IF(AND(A236="line",D236="quote"),SUMIFS($N$2:$N$500,$W$2:$W$500,W236,$D$2:$D$500,"invoice",$A$2:$A$500,"line"),"")</f>
        <v/>
      </c>
      <c r="Z236" s="2">
        <f>IF(AND(A236="line",D236="quote"),COUNTIFS($W$2:$W$500,W236,$D$2:$D$500,"invoice",$A$2:$A$500,"line"),"")</f>
        <v/>
      </c>
      <c r="AA236" s="2">
        <f>IF(AND(A236="line",D236="invoice"),COUNTIFS($W$2:$W$500,W236,$D$2:$D$500,"quote",$A$2:$A$500,"line"),"")</f>
        <v/>
      </c>
      <c r="AB236" s="2">
        <f>IF(A236&lt;&gt;"line","",IF(D236="quote",IF(Z236=0,"quote only",IF(ABS(Y236-N236)&gt;Settings!$B$2,"amount differs","match")),IF(AA236=0,"invoice only","match")))</f>
        <v/>
      </c>
      <c r="AC236" s="2">
        <f>IF(AND(A236="line",AB236&lt;&gt;"match",COUNTIFS($A$2:$A$500,"coverage",$B$2:$B$500,B236,$C$2:$C$500,C236,$D$2:$D$500,"invoice")&gt;0),MAX($AC$1:AC235)+1,"")</f>
        <v/>
      </c>
      <c r="AD236" s="2">
        <f>IF(A236&lt;&gt;"line","",IF(O236="UNMAPPED","no mapping rule",IF(P236="L","low confidence","")))</f>
        <v/>
      </c>
      <c r="AE236" s="2">
        <f>IF(AD236&lt;&gt;"",MAX($AE$1:AE235)+1,"")</f>
        <v/>
      </c>
      <c r="AF236" s="2">
        <f>IF(A236="coverage",MAX($AF$1:AF235)+1,"")</f>
        <v/>
      </c>
      <c r="AG236" s="2">
        <f>IF(A236="line",IF(COUNTIFS($B$1:B235,B236,$C$1:C235,C236,$A$1:A235,"line")=0,MAX($AG$1:AG235)+1,""),"")</f>
        <v/>
      </c>
    </row>
    <row r="237">
      <c r="W237" s="2">
        <f>IF(A237="line",IF(D237="quote",E237,G237)&amp;"|"&amp;LOWER(TRIM(K237)),"")</f>
        <v/>
      </c>
      <c r="X237" s="2">
        <f>IF(OR(O237="LABOUR",O237="INSTALL"),"LABOUR_ALL",IF(O237="","",O237))</f>
        <v/>
      </c>
      <c r="Y237" s="9">
        <f>IF(AND(A237="line",D237="quote"),SUMIFS($N$2:$N$500,$W$2:$W$500,W237,$D$2:$D$500,"invoice",$A$2:$A$500,"line"),"")</f>
        <v/>
      </c>
      <c r="Z237" s="2">
        <f>IF(AND(A237="line",D237="quote"),COUNTIFS($W$2:$W$500,W237,$D$2:$D$500,"invoice",$A$2:$A$500,"line"),"")</f>
        <v/>
      </c>
      <c r="AA237" s="2">
        <f>IF(AND(A237="line",D237="invoice"),COUNTIFS($W$2:$W$500,W237,$D$2:$D$500,"quote",$A$2:$A$500,"line"),"")</f>
        <v/>
      </c>
      <c r="AB237" s="2">
        <f>IF(A237&lt;&gt;"line","",IF(D237="quote",IF(Z237=0,"quote only",IF(ABS(Y237-N237)&gt;Settings!$B$2,"amount differs","match")),IF(AA237=0,"invoice only","match")))</f>
        <v/>
      </c>
      <c r="AC237" s="2">
        <f>IF(AND(A237="line",AB237&lt;&gt;"match",COUNTIFS($A$2:$A$500,"coverage",$B$2:$B$500,B237,$C$2:$C$500,C237,$D$2:$D$500,"invoice")&gt;0),MAX($AC$1:AC236)+1,"")</f>
        <v/>
      </c>
      <c r="AD237" s="2">
        <f>IF(A237&lt;&gt;"line","",IF(O237="UNMAPPED","no mapping rule",IF(P237="L","low confidence","")))</f>
        <v/>
      </c>
      <c r="AE237" s="2">
        <f>IF(AD237&lt;&gt;"",MAX($AE$1:AE236)+1,"")</f>
        <v/>
      </c>
      <c r="AF237" s="2">
        <f>IF(A237="coverage",MAX($AF$1:AF236)+1,"")</f>
        <v/>
      </c>
      <c r="AG237" s="2">
        <f>IF(A237="line",IF(COUNTIFS($B$1:B236,B237,$C$1:C236,C237,$A$1:A236,"line")=0,MAX($AG$1:AG236)+1,""),"")</f>
        <v/>
      </c>
    </row>
    <row r="238">
      <c r="W238" s="2">
        <f>IF(A238="line",IF(D238="quote",E238,G238)&amp;"|"&amp;LOWER(TRIM(K238)),"")</f>
        <v/>
      </c>
      <c r="X238" s="2">
        <f>IF(OR(O238="LABOUR",O238="INSTALL"),"LABOUR_ALL",IF(O238="","",O238))</f>
        <v/>
      </c>
      <c r="Y238" s="9">
        <f>IF(AND(A238="line",D238="quote"),SUMIFS($N$2:$N$500,$W$2:$W$500,W238,$D$2:$D$500,"invoice",$A$2:$A$500,"line"),"")</f>
        <v/>
      </c>
      <c r="Z238" s="2">
        <f>IF(AND(A238="line",D238="quote"),COUNTIFS($W$2:$W$500,W238,$D$2:$D$500,"invoice",$A$2:$A$500,"line"),"")</f>
        <v/>
      </c>
      <c r="AA238" s="2">
        <f>IF(AND(A238="line",D238="invoice"),COUNTIFS($W$2:$W$500,W238,$D$2:$D$500,"quote",$A$2:$A$500,"line"),"")</f>
        <v/>
      </c>
      <c r="AB238" s="2">
        <f>IF(A238&lt;&gt;"line","",IF(D238="quote",IF(Z238=0,"quote only",IF(ABS(Y238-N238)&gt;Settings!$B$2,"amount differs","match")),IF(AA238=0,"invoice only","match")))</f>
        <v/>
      </c>
      <c r="AC238" s="2">
        <f>IF(AND(A238="line",AB238&lt;&gt;"match",COUNTIFS($A$2:$A$500,"coverage",$B$2:$B$500,B238,$C$2:$C$500,C238,$D$2:$D$500,"invoice")&gt;0),MAX($AC$1:AC237)+1,"")</f>
        <v/>
      </c>
      <c r="AD238" s="2">
        <f>IF(A238&lt;&gt;"line","",IF(O238="UNMAPPED","no mapping rule",IF(P238="L","low confidence","")))</f>
        <v/>
      </c>
      <c r="AE238" s="2">
        <f>IF(AD238&lt;&gt;"",MAX($AE$1:AE237)+1,"")</f>
        <v/>
      </c>
      <c r="AF238" s="2">
        <f>IF(A238="coverage",MAX($AF$1:AF237)+1,"")</f>
        <v/>
      </c>
      <c r="AG238" s="2">
        <f>IF(A238="line",IF(COUNTIFS($B$1:B237,B238,$C$1:C237,C238,$A$1:A237,"line")=0,MAX($AG$1:AG237)+1,""),"")</f>
        <v/>
      </c>
    </row>
    <row r="239">
      <c r="W239" s="2">
        <f>IF(A239="line",IF(D239="quote",E239,G239)&amp;"|"&amp;LOWER(TRIM(K239)),"")</f>
        <v/>
      </c>
      <c r="X239" s="2">
        <f>IF(OR(O239="LABOUR",O239="INSTALL"),"LABOUR_ALL",IF(O239="","",O239))</f>
        <v/>
      </c>
      <c r="Y239" s="9">
        <f>IF(AND(A239="line",D239="quote"),SUMIFS($N$2:$N$500,$W$2:$W$500,W239,$D$2:$D$500,"invoice",$A$2:$A$500,"line"),"")</f>
        <v/>
      </c>
      <c r="Z239" s="2">
        <f>IF(AND(A239="line",D239="quote"),COUNTIFS($W$2:$W$500,W239,$D$2:$D$500,"invoice",$A$2:$A$500,"line"),"")</f>
        <v/>
      </c>
      <c r="AA239" s="2">
        <f>IF(AND(A239="line",D239="invoice"),COUNTIFS($W$2:$W$500,W239,$D$2:$D$500,"quote",$A$2:$A$500,"line"),"")</f>
        <v/>
      </c>
      <c r="AB239" s="2">
        <f>IF(A239&lt;&gt;"line","",IF(D239="quote",IF(Z239=0,"quote only",IF(ABS(Y239-N239)&gt;Settings!$B$2,"amount differs","match")),IF(AA239=0,"invoice only","match")))</f>
        <v/>
      </c>
      <c r="AC239" s="2">
        <f>IF(AND(A239="line",AB239&lt;&gt;"match",COUNTIFS($A$2:$A$500,"coverage",$B$2:$B$500,B239,$C$2:$C$500,C239,$D$2:$D$500,"invoice")&gt;0),MAX($AC$1:AC238)+1,"")</f>
        <v/>
      </c>
      <c r="AD239" s="2">
        <f>IF(A239&lt;&gt;"line","",IF(O239="UNMAPPED","no mapping rule",IF(P239="L","low confidence","")))</f>
        <v/>
      </c>
      <c r="AE239" s="2">
        <f>IF(AD239&lt;&gt;"",MAX($AE$1:AE238)+1,"")</f>
        <v/>
      </c>
      <c r="AF239" s="2">
        <f>IF(A239="coverage",MAX($AF$1:AF238)+1,"")</f>
        <v/>
      </c>
      <c r="AG239" s="2">
        <f>IF(A239="line",IF(COUNTIFS($B$1:B238,B239,$C$1:C238,C239,$A$1:A238,"line")=0,MAX($AG$1:AG238)+1,""),"")</f>
        <v/>
      </c>
    </row>
    <row r="240">
      <c r="W240" s="2">
        <f>IF(A240="line",IF(D240="quote",E240,G240)&amp;"|"&amp;LOWER(TRIM(K240)),"")</f>
        <v/>
      </c>
      <c r="X240" s="2">
        <f>IF(OR(O240="LABOUR",O240="INSTALL"),"LABOUR_ALL",IF(O240="","",O240))</f>
        <v/>
      </c>
      <c r="Y240" s="9">
        <f>IF(AND(A240="line",D240="quote"),SUMIFS($N$2:$N$500,$W$2:$W$500,W240,$D$2:$D$500,"invoice",$A$2:$A$500,"line"),"")</f>
        <v/>
      </c>
      <c r="Z240" s="2">
        <f>IF(AND(A240="line",D240="quote"),COUNTIFS($W$2:$W$500,W240,$D$2:$D$500,"invoice",$A$2:$A$500,"line"),"")</f>
        <v/>
      </c>
      <c r="AA240" s="2">
        <f>IF(AND(A240="line",D240="invoice"),COUNTIFS($W$2:$W$500,W240,$D$2:$D$500,"quote",$A$2:$A$500,"line"),"")</f>
        <v/>
      </c>
      <c r="AB240" s="2">
        <f>IF(A240&lt;&gt;"line","",IF(D240="quote",IF(Z240=0,"quote only",IF(ABS(Y240-N240)&gt;Settings!$B$2,"amount differs","match")),IF(AA240=0,"invoice only","match")))</f>
        <v/>
      </c>
      <c r="AC240" s="2">
        <f>IF(AND(A240="line",AB240&lt;&gt;"match",COUNTIFS($A$2:$A$500,"coverage",$B$2:$B$500,B240,$C$2:$C$500,C240,$D$2:$D$500,"invoice")&gt;0),MAX($AC$1:AC239)+1,"")</f>
        <v/>
      </c>
      <c r="AD240" s="2">
        <f>IF(A240&lt;&gt;"line","",IF(O240="UNMAPPED","no mapping rule",IF(P240="L","low confidence","")))</f>
        <v/>
      </c>
      <c r="AE240" s="2">
        <f>IF(AD240&lt;&gt;"",MAX($AE$1:AE239)+1,"")</f>
        <v/>
      </c>
      <c r="AF240" s="2">
        <f>IF(A240="coverage",MAX($AF$1:AF239)+1,"")</f>
        <v/>
      </c>
      <c r="AG240" s="2">
        <f>IF(A240="line",IF(COUNTIFS($B$1:B239,B240,$C$1:C239,C240,$A$1:A239,"line")=0,MAX($AG$1:AG239)+1,""),"")</f>
        <v/>
      </c>
    </row>
    <row r="241">
      <c r="W241" s="2">
        <f>IF(A241="line",IF(D241="quote",E241,G241)&amp;"|"&amp;LOWER(TRIM(K241)),"")</f>
        <v/>
      </c>
      <c r="X241" s="2">
        <f>IF(OR(O241="LABOUR",O241="INSTALL"),"LABOUR_ALL",IF(O241="","",O241))</f>
        <v/>
      </c>
      <c r="Y241" s="9">
        <f>IF(AND(A241="line",D241="quote"),SUMIFS($N$2:$N$500,$W$2:$W$500,W241,$D$2:$D$500,"invoice",$A$2:$A$500,"line"),"")</f>
        <v/>
      </c>
      <c r="Z241" s="2">
        <f>IF(AND(A241="line",D241="quote"),COUNTIFS($W$2:$W$500,W241,$D$2:$D$500,"invoice",$A$2:$A$500,"line"),"")</f>
        <v/>
      </c>
      <c r="AA241" s="2">
        <f>IF(AND(A241="line",D241="invoice"),COUNTIFS($W$2:$W$500,W241,$D$2:$D$500,"quote",$A$2:$A$500,"line"),"")</f>
        <v/>
      </c>
      <c r="AB241" s="2">
        <f>IF(A241&lt;&gt;"line","",IF(D241="quote",IF(Z241=0,"quote only",IF(ABS(Y241-N241)&gt;Settings!$B$2,"amount differs","match")),IF(AA241=0,"invoice only","match")))</f>
        <v/>
      </c>
      <c r="AC241" s="2">
        <f>IF(AND(A241="line",AB241&lt;&gt;"match",COUNTIFS($A$2:$A$500,"coverage",$B$2:$B$500,B241,$C$2:$C$500,C241,$D$2:$D$500,"invoice")&gt;0),MAX($AC$1:AC240)+1,"")</f>
        <v/>
      </c>
      <c r="AD241" s="2">
        <f>IF(A241&lt;&gt;"line","",IF(O241="UNMAPPED","no mapping rule",IF(P241="L","low confidence","")))</f>
        <v/>
      </c>
      <c r="AE241" s="2">
        <f>IF(AD241&lt;&gt;"",MAX($AE$1:AE240)+1,"")</f>
        <v/>
      </c>
      <c r="AF241" s="2">
        <f>IF(A241="coverage",MAX($AF$1:AF240)+1,"")</f>
        <v/>
      </c>
      <c r="AG241" s="2">
        <f>IF(A241="line",IF(COUNTIFS($B$1:B240,B241,$C$1:C240,C241,$A$1:A240,"line")=0,MAX($AG$1:AG240)+1,""),"")</f>
        <v/>
      </c>
    </row>
    <row r="242">
      <c r="W242" s="2">
        <f>IF(A242="line",IF(D242="quote",E242,G242)&amp;"|"&amp;LOWER(TRIM(K242)),"")</f>
        <v/>
      </c>
      <c r="X242" s="2">
        <f>IF(OR(O242="LABOUR",O242="INSTALL"),"LABOUR_ALL",IF(O242="","",O242))</f>
        <v/>
      </c>
      <c r="Y242" s="9">
        <f>IF(AND(A242="line",D242="quote"),SUMIFS($N$2:$N$500,$W$2:$W$500,W242,$D$2:$D$500,"invoice",$A$2:$A$500,"line"),"")</f>
        <v/>
      </c>
      <c r="Z242" s="2">
        <f>IF(AND(A242="line",D242="quote"),COUNTIFS($W$2:$W$500,W242,$D$2:$D$500,"invoice",$A$2:$A$500,"line"),"")</f>
        <v/>
      </c>
      <c r="AA242" s="2">
        <f>IF(AND(A242="line",D242="invoice"),COUNTIFS($W$2:$W$500,W242,$D$2:$D$500,"quote",$A$2:$A$500,"line"),"")</f>
        <v/>
      </c>
      <c r="AB242" s="2">
        <f>IF(A242&lt;&gt;"line","",IF(D242="quote",IF(Z242=0,"quote only",IF(ABS(Y242-N242)&gt;Settings!$B$2,"amount differs","match")),IF(AA242=0,"invoice only","match")))</f>
        <v/>
      </c>
      <c r="AC242" s="2">
        <f>IF(AND(A242="line",AB242&lt;&gt;"match",COUNTIFS($A$2:$A$500,"coverage",$B$2:$B$500,B242,$C$2:$C$500,C242,$D$2:$D$500,"invoice")&gt;0),MAX($AC$1:AC241)+1,"")</f>
        <v/>
      </c>
      <c r="AD242" s="2">
        <f>IF(A242&lt;&gt;"line","",IF(O242="UNMAPPED","no mapping rule",IF(P242="L","low confidence","")))</f>
        <v/>
      </c>
      <c r="AE242" s="2">
        <f>IF(AD242&lt;&gt;"",MAX($AE$1:AE241)+1,"")</f>
        <v/>
      </c>
      <c r="AF242" s="2">
        <f>IF(A242="coverage",MAX($AF$1:AF241)+1,"")</f>
        <v/>
      </c>
      <c r="AG242" s="2">
        <f>IF(A242="line",IF(COUNTIFS($B$1:B241,B242,$C$1:C241,C242,$A$1:A241,"line")=0,MAX($AG$1:AG241)+1,""),"")</f>
        <v/>
      </c>
    </row>
    <row r="243">
      <c r="W243" s="2">
        <f>IF(A243="line",IF(D243="quote",E243,G243)&amp;"|"&amp;LOWER(TRIM(K243)),"")</f>
        <v/>
      </c>
      <c r="X243" s="2">
        <f>IF(OR(O243="LABOUR",O243="INSTALL"),"LABOUR_ALL",IF(O243="","",O243))</f>
        <v/>
      </c>
      <c r="Y243" s="9">
        <f>IF(AND(A243="line",D243="quote"),SUMIFS($N$2:$N$500,$W$2:$W$500,W243,$D$2:$D$500,"invoice",$A$2:$A$500,"line"),"")</f>
        <v/>
      </c>
      <c r="Z243" s="2">
        <f>IF(AND(A243="line",D243="quote"),COUNTIFS($W$2:$W$500,W243,$D$2:$D$500,"invoice",$A$2:$A$500,"line"),"")</f>
        <v/>
      </c>
      <c r="AA243" s="2">
        <f>IF(AND(A243="line",D243="invoice"),COUNTIFS($W$2:$W$500,W243,$D$2:$D$500,"quote",$A$2:$A$500,"line"),"")</f>
        <v/>
      </c>
      <c r="AB243" s="2">
        <f>IF(A243&lt;&gt;"line","",IF(D243="quote",IF(Z243=0,"quote only",IF(ABS(Y243-N243)&gt;Settings!$B$2,"amount differs","match")),IF(AA243=0,"invoice only","match")))</f>
        <v/>
      </c>
      <c r="AC243" s="2">
        <f>IF(AND(A243="line",AB243&lt;&gt;"match",COUNTIFS($A$2:$A$500,"coverage",$B$2:$B$500,B243,$C$2:$C$500,C243,$D$2:$D$500,"invoice")&gt;0),MAX($AC$1:AC242)+1,"")</f>
        <v/>
      </c>
      <c r="AD243" s="2">
        <f>IF(A243&lt;&gt;"line","",IF(O243="UNMAPPED","no mapping rule",IF(P243="L","low confidence","")))</f>
        <v/>
      </c>
      <c r="AE243" s="2">
        <f>IF(AD243&lt;&gt;"",MAX($AE$1:AE242)+1,"")</f>
        <v/>
      </c>
      <c r="AF243" s="2">
        <f>IF(A243="coverage",MAX($AF$1:AF242)+1,"")</f>
        <v/>
      </c>
      <c r="AG243" s="2">
        <f>IF(A243="line",IF(COUNTIFS($B$1:B242,B243,$C$1:C242,C243,$A$1:A242,"line")=0,MAX($AG$1:AG242)+1,""),"")</f>
        <v/>
      </c>
    </row>
    <row r="244">
      <c r="W244" s="2">
        <f>IF(A244="line",IF(D244="quote",E244,G244)&amp;"|"&amp;LOWER(TRIM(K244)),"")</f>
        <v/>
      </c>
      <c r="X244" s="2">
        <f>IF(OR(O244="LABOUR",O244="INSTALL"),"LABOUR_ALL",IF(O244="","",O244))</f>
        <v/>
      </c>
      <c r="Y244" s="9">
        <f>IF(AND(A244="line",D244="quote"),SUMIFS($N$2:$N$500,$W$2:$W$500,W244,$D$2:$D$500,"invoice",$A$2:$A$500,"line"),"")</f>
        <v/>
      </c>
      <c r="Z244" s="2">
        <f>IF(AND(A244="line",D244="quote"),COUNTIFS($W$2:$W$500,W244,$D$2:$D$500,"invoice",$A$2:$A$500,"line"),"")</f>
        <v/>
      </c>
      <c r="AA244" s="2">
        <f>IF(AND(A244="line",D244="invoice"),COUNTIFS($W$2:$W$500,W244,$D$2:$D$500,"quote",$A$2:$A$500,"line"),"")</f>
        <v/>
      </c>
      <c r="AB244" s="2">
        <f>IF(A244&lt;&gt;"line","",IF(D244="quote",IF(Z244=0,"quote only",IF(ABS(Y244-N244)&gt;Settings!$B$2,"amount differs","match")),IF(AA244=0,"invoice only","match")))</f>
        <v/>
      </c>
      <c r="AC244" s="2">
        <f>IF(AND(A244="line",AB244&lt;&gt;"match",COUNTIFS($A$2:$A$500,"coverage",$B$2:$B$500,B244,$C$2:$C$500,C244,$D$2:$D$500,"invoice")&gt;0),MAX($AC$1:AC243)+1,"")</f>
        <v/>
      </c>
      <c r="AD244" s="2">
        <f>IF(A244&lt;&gt;"line","",IF(O244="UNMAPPED","no mapping rule",IF(P244="L","low confidence","")))</f>
        <v/>
      </c>
      <c r="AE244" s="2">
        <f>IF(AD244&lt;&gt;"",MAX($AE$1:AE243)+1,"")</f>
        <v/>
      </c>
      <c r="AF244" s="2">
        <f>IF(A244="coverage",MAX($AF$1:AF243)+1,"")</f>
        <v/>
      </c>
      <c r="AG244" s="2">
        <f>IF(A244="line",IF(COUNTIFS($B$1:B243,B244,$C$1:C243,C244,$A$1:A243,"line")=0,MAX($AG$1:AG243)+1,""),"")</f>
        <v/>
      </c>
    </row>
    <row r="245">
      <c r="W245" s="2">
        <f>IF(A245="line",IF(D245="quote",E245,G245)&amp;"|"&amp;LOWER(TRIM(K245)),"")</f>
        <v/>
      </c>
      <c r="X245" s="2">
        <f>IF(OR(O245="LABOUR",O245="INSTALL"),"LABOUR_ALL",IF(O245="","",O245))</f>
        <v/>
      </c>
      <c r="Y245" s="9">
        <f>IF(AND(A245="line",D245="quote"),SUMIFS($N$2:$N$500,$W$2:$W$500,W245,$D$2:$D$500,"invoice",$A$2:$A$500,"line"),"")</f>
        <v/>
      </c>
      <c r="Z245" s="2">
        <f>IF(AND(A245="line",D245="quote"),COUNTIFS($W$2:$W$500,W245,$D$2:$D$500,"invoice",$A$2:$A$500,"line"),"")</f>
        <v/>
      </c>
      <c r="AA245" s="2">
        <f>IF(AND(A245="line",D245="invoice"),COUNTIFS($W$2:$W$500,W245,$D$2:$D$500,"quote",$A$2:$A$500,"line"),"")</f>
        <v/>
      </c>
      <c r="AB245" s="2">
        <f>IF(A245&lt;&gt;"line","",IF(D245="quote",IF(Z245=0,"quote only",IF(ABS(Y245-N245)&gt;Settings!$B$2,"amount differs","match")),IF(AA245=0,"invoice only","match")))</f>
        <v/>
      </c>
      <c r="AC245" s="2">
        <f>IF(AND(A245="line",AB245&lt;&gt;"match",COUNTIFS($A$2:$A$500,"coverage",$B$2:$B$500,B245,$C$2:$C$500,C245,$D$2:$D$500,"invoice")&gt;0),MAX($AC$1:AC244)+1,"")</f>
        <v/>
      </c>
      <c r="AD245" s="2">
        <f>IF(A245&lt;&gt;"line","",IF(O245="UNMAPPED","no mapping rule",IF(P245="L","low confidence","")))</f>
        <v/>
      </c>
      <c r="AE245" s="2">
        <f>IF(AD245&lt;&gt;"",MAX($AE$1:AE244)+1,"")</f>
        <v/>
      </c>
      <c r="AF245" s="2">
        <f>IF(A245="coverage",MAX($AF$1:AF244)+1,"")</f>
        <v/>
      </c>
      <c r="AG245" s="2">
        <f>IF(A245="line",IF(COUNTIFS($B$1:B244,B245,$C$1:C244,C245,$A$1:A244,"line")=0,MAX($AG$1:AG244)+1,""),"")</f>
        <v/>
      </c>
    </row>
    <row r="246">
      <c r="W246" s="2">
        <f>IF(A246="line",IF(D246="quote",E246,G246)&amp;"|"&amp;LOWER(TRIM(K246)),"")</f>
        <v/>
      </c>
      <c r="X246" s="2">
        <f>IF(OR(O246="LABOUR",O246="INSTALL"),"LABOUR_ALL",IF(O246="","",O246))</f>
        <v/>
      </c>
      <c r="Y246" s="9">
        <f>IF(AND(A246="line",D246="quote"),SUMIFS($N$2:$N$500,$W$2:$W$500,W246,$D$2:$D$500,"invoice",$A$2:$A$500,"line"),"")</f>
        <v/>
      </c>
      <c r="Z246" s="2">
        <f>IF(AND(A246="line",D246="quote"),COUNTIFS($W$2:$W$500,W246,$D$2:$D$500,"invoice",$A$2:$A$500,"line"),"")</f>
        <v/>
      </c>
      <c r="AA246" s="2">
        <f>IF(AND(A246="line",D246="invoice"),COUNTIFS($W$2:$W$500,W246,$D$2:$D$500,"quote",$A$2:$A$500,"line"),"")</f>
        <v/>
      </c>
      <c r="AB246" s="2">
        <f>IF(A246&lt;&gt;"line","",IF(D246="quote",IF(Z246=0,"quote only",IF(ABS(Y246-N246)&gt;Settings!$B$2,"amount differs","match")),IF(AA246=0,"invoice only","match")))</f>
        <v/>
      </c>
      <c r="AC246" s="2">
        <f>IF(AND(A246="line",AB246&lt;&gt;"match",COUNTIFS($A$2:$A$500,"coverage",$B$2:$B$500,B246,$C$2:$C$500,C246,$D$2:$D$500,"invoice")&gt;0),MAX($AC$1:AC245)+1,"")</f>
        <v/>
      </c>
      <c r="AD246" s="2">
        <f>IF(A246&lt;&gt;"line","",IF(O246="UNMAPPED","no mapping rule",IF(P246="L","low confidence","")))</f>
        <v/>
      </c>
      <c r="AE246" s="2">
        <f>IF(AD246&lt;&gt;"",MAX($AE$1:AE245)+1,"")</f>
        <v/>
      </c>
      <c r="AF246" s="2">
        <f>IF(A246="coverage",MAX($AF$1:AF245)+1,"")</f>
        <v/>
      </c>
      <c r="AG246" s="2">
        <f>IF(A246="line",IF(COUNTIFS($B$1:B245,B246,$C$1:C245,C246,$A$1:A245,"line")=0,MAX($AG$1:AG245)+1,""),"")</f>
        <v/>
      </c>
    </row>
    <row r="247">
      <c r="W247" s="2">
        <f>IF(A247="line",IF(D247="quote",E247,G247)&amp;"|"&amp;LOWER(TRIM(K247)),"")</f>
        <v/>
      </c>
      <c r="X247" s="2">
        <f>IF(OR(O247="LABOUR",O247="INSTALL"),"LABOUR_ALL",IF(O247="","",O247))</f>
        <v/>
      </c>
      <c r="Y247" s="9">
        <f>IF(AND(A247="line",D247="quote"),SUMIFS($N$2:$N$500,$W$2:$W$500,W247,$D$2:$D$500,"invoice",$A$2:$A$500,"line"),"")</f>
        <v/>
      </c>
      <c r="Z247" s="2">
        <f>IF(AND(A247="line",D247="quote"),COUNTIFS($W$2:$W$500,W247,$D$2:$D$500,"invoice",$A$2:$A$500,"line"),"")</f>
        <v/>
      </c>
      <c r="AA247" s="2">
        <f>IF(AND(A247="line",D247="invoice"),COUNTIFS($W$2:$W$500,W247,$D$2:$D$500,"quote",$A$2:$A$500,"line"),"")</f>
        <v/>
      </c>
      <c r="AB247" s="2">
        <f>IF(A247&lt;&gt;"line","",IF(D247="quote",IF(Z247=0,"quote only",IF(ABS(Y247-N247)&gt;Settings!$B$2,"amount differs","match")),IF(AA247=0,"invoice only","match")))</f>
        <v/>
      </c>
      <c r="AC247" s="2">
        <f>IF(AND(A247="line",AB247&lt;&gt;"match",COUNTIFS($A$2:$A$500,"coverage",$B$2:$B$500,B247,$C$2:$C$500,C247,$D$2:$D$500,"invoice")&gt;0),MAX($AC$1:AC246)+1,"")</f>
        <v/>
      </c>
      <c r="AD247" s="2">
        <f>IF(A247&lt;&gt;"line","",IF(O247="UNMAPPED","no mapping rule",IF(P247="L","low confidence","")))</f>
        <v/>
      </c>
      <c r="AE247" s="2">
        <f>IF(AD247&lt;&gt;"",MAX($AE$1:AE246)+1,"")</f>
        <v/>
      </c>
      <c r="AF247" s="2">
        <f>IF(A247="coverage",MAX($AF$1:AF246)+1,"")</f>
        <v/>
      </c>
      <c r="AG247" s="2">
        <f>IF(A247="line",IF(COUNTIFS($B$1:B246,B247,$C$1:C246,C247,$A$1:A246,"line")=0,MAX($AG$1:AG246)+1,""),"")</f>
        <v/>
      </c>
    </row>
    <row r="248">
      <c r="W248" s="2">
        <f>IF(A248="line",IF(D248="quote",E248,G248)&amp;"|"&amp;LOWER(TRIM(K248)),"")</f>
        <v/>
      </c>
      <c r="X248" s="2">
        <f>IF(OR(O248="LABOUR",O248="INSTALL"),"LABOUR_ALL",IF(O248="","",O248))</f>
        <v/>
      </c>
      <c r="Y248" s="9">
        <f>IF(AND(A248="line",D248="quote"),SUMIFS($N$2:$N$500,$W$2:$W$500,W248,$D$2:$D$500,"invoice",$A$2:$A$500,"line"),"")</f>
        <v/>
      </c>
      <c r="Z248" s="2">
        <f>IF(AND(A248="line",D248="quote"),COUNTIFS($W$2:$W$500,W248,$D$2:$D$500,"invoice",$A$2:$A$500,"line"),"")</f>
        <v/>
      </c>
      <c r="AA248" s="2">
        <f>IF(AND(A248="line",D248="invoice"),COUNTIFS($W$2:$W$500,W248,$D$2:$D$500,"quote",$A$2:$A$500,"line"),"")</f>
        <v/>
      </c>
      <c r="AB248" s="2">
        <f>IF(A248&lt;&gt;"line","",IF(D248="quote",IF(Z248=0,"quote only",IF(ABS(Y248-N248)&gt;Settings!$B$2,"amount differs","match")),IF(AA248=0,"invoice only","match")))</f>
        <v/>
      </c>
      <c r="AC248" s="2">
        <f>IF(AND(A248="line",AB248&lt;&gt;"match",COUNTIFS($A$2:$A$500,"coverage",$B$2:$B$500,B248,$C$2:$C$500,C248,$D$2:$D$500,"invoice")&gt;0),MAX($AC$1:AC247)+1,"")</f>
        <v/>
      </c>
      <c r="AD248" s="2">
        <f>IF(A248&lt;&gt;"line","",IF(O248="UNMAPPED","no mapping rule",IF(P248="L","low confidence","")))</f>
        <v/>
      </c>
      <c r="AE248" s="2">
        <f>IF(AD248&lt;&gt;"",MAX($AE$1:AE247)+1,"")</f>
        <v/>
      </c>
      <c r="AF248" s="2">
        <f>IF(A248="coverage",MAX($AF$1:AF247)+1,"")</f>
        <v/>
      </c>
      <c r="AG248" s="2">
        <f>IF(A248="line",IF(COUNTIFS($B$1:B247,B248,$C$1:C247,C248,$A$1:A247,"line")=0,MAX($AG$1:AG247)+1,""),"")</f>
        <v/>
      </c>
    </row>
    <row r="249">
      <c r="W249" s="2">
        <f>IF(A249="line",IF(D249="quote",E249,G249)&amp;"|"&amp;LOWER(TRIM(K249)),"")</f>
        <v/>
      </c>
      <c r="X249" s="2">
        <f>IF(OR(O249="LABOUR",O249="INSTALL"),"LABOUR_ALL",IF(O249="","",O249))</f>
        <v/>
      </c>
      <c r="Y249" s="9">
        <f>IF(AND(A249="line",D249="quote"),SUMIFS($N$2:$N$500,$W$2:$W$500,W249,$D$2:$D$500,"invoice",$A$2:$A$500,"line"),"")</f>
        <v/>
      </c>
      <c r="Z249" s="2">
        <f>IF(AND(A249="line",D249="quote"),COUNTIFS($W$2:$W$500,W249,$D$2:$D$500,"invoice",$A$2:$A$500,"line"),"")</f>
        <v/>
      </c>
      <c r="AA249" s="2">
        <f>IF(AND(A249="line",D249="invoice"),COUNTIFS($W$2:$W$500,W249,$D$2:$D$500,"quote",$A$2:$A$500,"line"),"")</f>
        <v/>
      </c>
      <c r="AB249" s="2">
        <f>IF(A249&lt;&gt;"line","",IF(D249="quote",IF(Z249=0,"quote only",IF(ABS(Y249-N249)&gt;Settings!$B$2,"amount differs","match")),IF(AA249=0,"invoice only","match")))</f>
        <v/>
      </c>
      <c r="AC249" s="2">
        <f>IF(AND(A249="line",AB249&lt;&gt;"match",COUNTIFS($A$2:$A$500,"coverage",$B$2:$B$500,B249,$C$2:$C$500,C249,$D$2:$D$500,"invoice")&gt;0),MAX($AC$1:AC248)+1,"")</f>
        <v/>
      </c>
      <c r="AD249" s="2">
        <f>IF(A249&lt;&gt;"line","",IF(O249="UNMAPPED","no mapping rule",IF(P249="L","low confidence","")))</f>
        <v/>
      </c>
      <c r="AE249" s="2">
        <f>IF(AD249&lt;&gt;"",MAX($AE$1:AE248)+1,"")</f>
        <v/>
      </c>
      <c r="AF249" s="2">
        <f>IF(A249="coverage",MAX($AF$1:AF248)+1,"")</f>
        <v/>
      </c>
      <c r="AG249" s="2">
        <f>IF(A249="line",IF(COUNTIFS($B$1:B248,B249,$C$1:C248,C249,$A$1:A248,"line")=0,MAX($AG$1:AG248)+1,""),"")</f>
        <v/>
      </c>
    </row>
    <row r="250">
      <c r="W250" s="2">
        <f>IF(A250="line",IF(D250="quote",E250,G250)&amp;"|"&amp;LOWER(TRIM(K250)),"")</f>
        <v/>
      </c>
      <c r="X250" s="2">
        <f>IF(OR(O250="LABOUR",O250="INSTALL"),"LABOUR_ALL",IF(O250="","",O250))</f>
        <v/>
      </c>
      <c r="Y250" s="9">
        <f>IF(AND(A250="line",D250="quote"),SUMIFS($N$2:$N$500,$W$2:$W$500,W250,$D$2:$D$500,"invoice",$A$2:$A$500,"line"),"")</f>
        <v/>
      </c>
      <c r="Z250" s="2">
        <f>IF(AND(A250="line",D250="quote"),COUNTIFS($W$2:$W$500,W250,$D$2:$D$500,"invoice",$A$2:$A$500,"line"),"")</f>
        <v/>
      </c>
      <c r="AA250" s="2">
        <f>IF(AND(A250="line",D250="invoice"),COUNTIFS($W$2:$W$500,W250,$D$2:$D$500,"quote",$A$2:$A$500,"line"),"")</f>
        <v/>
      </c>
      <c r="AB250" s="2">
        <f>IF(A250&lt;&gt;"line","",IF(D250="quote",IF(Z250=0,"quote only",IF(ABS(Y250-N250)&gt;Settings!$B$2,"amount differs","match")),IF(AA250=0,"invoice only","match")))</f>
        <v/>
      </c>
      <c r="AC250" s="2">
        <f>IF(AND(A250="line",AB250&lt;&gt;"match",COUNTIFS($A$2:$A$500,"coverage",$B$2:$B$500,B250,$C$2:$C$500,C250,$D$2:$D$500,"invoice")&gt;0),MAX($AC$1:AC249)+1,"")</f>
        <v/>
      </c>
      <c r="AD250" s="2">
        <f>IF(A250&lt;&gt;"line","",IF(O250="UNMAPPED","no mapping rule",IF(P250="L","low confidence","")))</f>
        <v/>
      </c>
      <c r="AE250" s="2">
        <f>IF(AD250&lt;&gt;"",MAX($AE$1:AE249)+1,"")</f>
        <v/>
      </c>
      <c r="AF250" s="2">
        <f>IF(A250="coverage",MAX($AF$1:AF249)+1,"")</f>
        <v/>
      </c>
      <c r="AG250" s="2">
        <f>IF(A250="line",IF(COUNTIFS($B$1:B249,B250,$C$1:C249,C250,$A$1:A249,"line")=0,MAX($AG$1:AG249)+1,""),"")</f>
        <v/>
      </c>
    </row>
    <row r="251">
      <c r="W251" s="2">
        <f>IF(A251="line",IF(D251="quote",E251,G251)&amp;"|"&amp;LOWER(TRIM(K251)),"")</f>
        <v/>
      </c>
      <c r="X251" s="2">
        <f>IF(OR(O251="LABOUR",O251="INSTALL"),"LABOUR_ALL",IF(O251="","",O251))</f>
        <v/>
      </c>
      <c r="Y251" s="9">
        <f>IF(AND(A251="line",D251="quote"),SUMIFS($N$2:$N$500,$W$2:$W$500,W251,$D$2:$D$500,"invoice",$A$2:$A$500,"line"),"")</f>
        <v/>
      </c>
      <c r="Z251" s="2">
        <f>IF(AND(A251="line",D251="quote"),COUNTIFS($W$2:$W$500,W251,$D$2:$D$500,"invoice",$A$2:$A$500,"line"),"")</f>
        <v/>
      </c>
      <c r="AA251" s="2">
        <f>IF(AND(A251="line",D251="invoice"),COUNTIFS($W$2:$W$500,W251,$D$2:$D$500,"quote",$A$2:$A$500,"line"),"")</f>
        <v/>
      </c>
      <c r="AB251" s="2">
        <f>IF(A251&lt;&gt;"line","",IF(D251="quote",IF(Z251=0,"quote only",IF(ABS(Y251-N251)&gt;Settings!$B$2,"amount differs","match")),IF(AA251=0,"invoice only","match")))</f>
        <v/>
      </c>
      <c r="AC251" s="2">
        <f>IF(AND(A251="line",AB251&lt;&gt;"match",COUNTIFS($A$2:$A$500,"coverage",$B$2:$B$500,B251,$C$2:$C$500,C251,$D$2:$D$500,"invoice")&gt;0),MAX($AC$1:AC250)+1,"")</f>
        <v/>
      </c>
      <c r="AD251" s="2">
        <f>IF(A251&lt;&gt;"line","",IF(O251="UNMAPPED","no mapping rule",IF(P251="L","low confidence","")))</f>
        <v/>
      </c>
      <c r="AE251" s="2">
        <f>IF(AD251&lt;&gt;"",MAX($AE$1:AE250)+1,"")</f>
        <v/>
      </c>
      <c r="AF251" s="2">
        <f>IF(A251="coverage",MAX($AF$1:AF250)+1,"")</f>
        <v/>
      </c>
      <c r="AG251" s="2">
        <f>IF(A251="line",IF(COUNTIFS($B$1:B250,B251,$C$1:C250,C251,$A$1:A250,"line")=0,MAX($AG$1:AG250)+1,""),"")</f>
        <v/>
      </c>
    </row>
    <row r="252">
      <c r="W252" s="2">
        <f>IF(A252="line",IF(D252="quote",E252,G252)&amp;"|"&amp;LOWER(TRIM(K252)),"")</f>
        <v/>
      </c>
      <c r="X252" s="2">
        <f>IF(OR(O252="LABOUR",O252="INSTALL"),"LABOUR_ALL",IF(O252="","",O252))</f>
        <v/>
      </c>
      <c r="Y252" s="9">
        <f>IF(AND(A252="line",D252="quote"),SUMIFS($N$2:$N$500,$W$2:$W$500,W252,$D$2:$D$500,"invoice",$A$2:$A$500,"line"),"")</f>
        <v/>
      </c>
      <c r="Z252" s="2">
        <f>IF(AND(A252="line",D252="quote"),COUNTIFS($W$2:$W$500,W252,$D$2:$D$500,"invoice",$A$2:$A$500,"line"),"")</f>
        <v/>
      </c>
      <c r="AA252" s="2">
        <f>IF(AND(A252="line",D252="invoice"),COUNTIFS($W$2:$W$500,W252,$D$2:$D$500,"quote",$A$2:$A$500,"line"),"")</f>
        <v/>
      </c>
      <c r="AB252" s="2">
        <f>IF(A252&lt;&gt;"line","",IF(D252="quote",IF(Z252=0,"quote only",IF(ABS(Y252-N252)&gt;Settings!$B$2,"amount differs","match")),IF(AA252=0,"invoice only","match")))</f>
        <v/>
      </c>
      <c r="AC252" s="2">
        <f>IF(AND(A252="line",AB252&lt;&gt;"match",COUNTIFS($A$2:$A$500,"coverage",$B$2:$B$500,B252,$C$2:$C$500,C252,$D$2:$D$500,"invoice")&gt;0),MAX($AC$1:AC251)+1,"")</f>
        <v/>
      </c>
      <c r="AD252" s="2">
        <f>IF(A252&lt;&gt;"line","",IF(O252="UNMAPPED","no mapping rule",IF(P252="L","low confidence","")))</f>
        <v/>
      </c>
      <c r="AE252" s="2">
        <f>IF(AD252&lt;&gt;"",MAX($AE$1:AE251)+1,"")</f>
        <v/>
      </c>
      <c r="AF252" s="2">
        <f>IF(A252="coverage",MAX($AF$1:AF251)+1,"")</f>
        <v/>
      </c>
      <c r="AG252" s="2">
        <f>IF(A252="line",IF(COUNTIFS($B$1:B251,B252,$C$1:C251,C252,$A$1:A251,"line")=0,MAX($AG$1:AG251)+1,""),"")</f>
        <v/>
      </c>
    </row>
    <row r="253">
      <c r="W253" s="2">
        <f>IF(A253="line",IF(D253="quote",E253,G253)&amp;"|"&amp;LOWER(TRIM(K253)),"")</f>
        <v/>
      </c>
      <c r="X253" s="2">
        <f>IF(OR(O253="LABOUR",O253="INSTALL"),"LABOUR_ALL",IF(O253="","",O253))</f>
        <v/>
      </c>
      <c r="Y253" s="9">
        <f>IF(AND(A253="line",D253="quote"),SUMIFS($N$2:$N$500,$W$2:$W$500,W253,$D$2:$D$500,"invoice",$A$2:$A$500,"line"),"")</f>
        <v/>
      </c>
      <c r="Z253" s="2">
        <f>IF(AND(A253="line",D253="quote"),COUNTIFS($W$2:$W$500,W253,$D$2:$D$500,"invoice",$A$2:$A$500,"line"),"")</f>
        <v/>
      </c>
      <c r="AA253" s="2">
        <f>IF(AND(A253="line",D253="invoice"),COUNTIFS($W$2:$W$500,W253,$D$2:$D$500,"quote",$A$2:$A$500,"line"),"")</f>
        <v/>
      </c>
      <c r="AB253" s="2">
        <f>IF(A253&lt;&gt;"line","",IF(D253="quote",IF(Z253=0,"quote only",IF(ABS(Y253-N253)&gt;Settings!$B$2,"amount differs","match")),IF(AA253=0,"invoice only","match")))</f>
        <v/>
      </c>
      <c r="AC253" s="2">
        <f>IF(AND(A253="line",AB253&lt;&gt;"match",COUNTIFS($A$2:$A$500,"coverage",$B$2:$B$500,B253,$C$2:$C$500,C253,$D$2:$D$500,"invoice")&gt;0),MAX($AC$1:AC252)+1,"")</f>
        <v/>
      </c>
      <c r="AD253" s="2">
        <f>IF(A253&lt;&gt;"line","",IF(O253="UNMAPPED","no mapping rule",IF(P253="L","low confidence","")))</f>
        <v/>
      </c>
      <c r="AE253" s="2">
        <f>IF(AD253&lt;&gt;"",MAX($AE$1:AE252)+1,"")</f>
        <v/>
      </c>
      <c r="AF253" s="2">
        <f>IF(A253="coverage",MAX($AF$1:AF252)+1,"")</f>
        <v/>
      </c>
      <c r="AG253" s="2">
        <f>IF(A253="line",IF(COUNTIFS($B$1:B252,B253,$C$1:C252,C253,$A$1:A252,"line")=0,MAX($AG$1:AG252)+1,""),"")</f>
        <v/>
      </c>
    </row>
    <row r="254">
      <c r="W254" s="2">
        <f>IF(A254="line",IF(D254="quote",E254,G254)&amp;"|"&amp;LOWER(TRIM(K254)),"")</f>
        <v/>
      </c>
      <c r="X254" s="2">
        <f>IF(OR(O254="LABOUR",O254="INSTALL"),"LABOUR_ALL",IF(O254="","",O254))</f>
        <v/>
      </c>
      <c r="Y254" s="9">
        <f>IF(AND(A254="line",D254="quote"),SUMIFS($N$2:$N$500,$W$2:$W$500,W254,$D$2:$D$500,"invoice",$A$2:$A$500,"line"),"")</f>
        <v/>
      </c>
      <c r="Z254" s="2">
        <f>IF(AND(A254="line",D254="quote"),COUNTIFS($W$2:$W$500,W254,$D$2:$D$500,"invoice",$A$2:$A$500,"line"),"")</f>
        <v/>
      </c>
      <c r="AA254" s="2">
        <f>IF(AND(A254="line",D254="invoice"),COUNTIFS($W$2:$W$500,W254,$D$2:$D$500,"quote",$A$2:$A$500,"line"),"")</f>
        <v/>
      </c>
      <c r="AB254" s="2">
        <f>IF(A254&lt;&gt;"line","",IF(D254="quote",IF(Z254=0,"quote only",IF(ABS(Y254-N254)&gt;Settings!$B$2,"amount differs","match")),IF(AA254=0,"invoice only","match")))</f>
        <v/>
      </c>
      <c r="AC254" s="2">
        <f>IF(AND(A254="line",AB254&lt;&gt;"match",COUNTIFS($A$2:$A$500,"coverage",$B$2:$B$500,B254,$C$2:$C$500,C254,$D$2:$D$500,"invoice")&gt;0),MAX($AC$1:AC253)+1,"")</f>
        <v/>
      </c>
      <c r="AD254" s="2">
        <f>IF(A254&lt;&gt;"line","",IF(O254="UNMAPPED","no mapping rule",IF(P254="L","low confidence","")))</f>
        <v/>
      </c>
      <c r="AE254" s="2">
        <f>IF(AD254&lt;&gt;"",MAX($AE$1:AE253)+1,"")</f>
        <v/>
      </c>
      <c r="AF254" s="2">
        <f>IF(A254="coverage",MAX($AF$1:AF253)+1,"")</f>
        <v/>
      </c>
      <c r="AG254" s="2">
        <f>IF(A254="line",IF(COUNTIFS($B$1:B253,B254,$C$1:C253,C254,$A$1:A253,"line")=0,MAX($AG$1:AG253)+1,""),"")</f>
        <v/>
      </c>
    </row>
    <row r="255">
      <c r="W255" s="2">
        <f>IF(A255="line",IF(D255="quote",E255,G255)&amp;"|"&amp;LOWER(TRIM(K255)),"")</f>
        <v/>
      </c>
      <c r="X255" s="2">
        <f>IF(OR(O255="LABOUR",O255="INSTALL"),"LABOUR_ALL",IF(O255="","",O255))</f>
        <v/>
      </c>
      <c r="Y255" s="9">
        <f>IF(AND(A255="line",D255="quote"),SUMIFS($N$2:$N$500,$W$2:$W$500,W255,$D$2:$D$500,"invoice",$A$2:$A$500,"line"),"")</f>
        <v/>
      </c>
      <c r="Z255" s="2">
        <f>IF(AND(A255="line",D255="quote"),COUNTIFS($W$2:$W$500,W255,$D$2:$D$500,"invoice",$A$2:$A$500,"line"),"")</f>
        <v/>
      </c>
      <c r="AA255" s="2">
        <f>IF(AND(A255="line",D255="invoice"),COUNTIFS($W$2:$W$500,W255,$D$2:$D$500,"quote",$A$2:$A$500,"line"),"")</f>
        <v/>
      </c>
      <c r="AB255" s="2">
        <f>IF(A255&lt;&gt;"line","",IF(D255="quote",IF(Z255=0,"quote only",IF(ABS(Y255-N255)&gt;Settings!$B$2,"amount differs","match")),IF(AA255=0,"invoice only","match")))</f>
        <v/>
      </c>
      <c r="AC255" s="2">
        <f>IF(AND(A255="line",AB255&lt;&gt;"match",COUNTIFS($A$2:$A$500,"coverage",$B$2:$B$500,B255,$C$2:$C$500,C255,$D$2:$D$500,"invoice")&gt;0),MAX($AC$1:AC254)+1,"")</f>
        <v/>
      </c>
      <c r="AD255" s="2">
        <f>IF(A255&lt;&gt;"line","",IF(O255="UNMAPPED","no mapping rule",IF(P255="L","low confidence","")))</f>
        <v/>
      </c>
      <c r="AE255" s="2">
        <f>IF(AD255&lt;&gt;"",MAX($AE$1:AE254)+1,"")</f>
        <v/>
      </c>
      <c r="AF255" s="2">
        <f>IF(A255="coverage",MAX($AF$1:AF254)+1,"")</f>
        <v/>
      </c>
      <c r="AG255" s="2">
        <f>IF(A255="line",IF(COUNTIFS($B$1:B254,B255,$C$1:C254,C255,$A$1:A254,"line")=0,MAX($AG$1:AG254)+1,""),"")</f>
        <v/>
      </c>
    </row>
    <row r="256">
      <c r="W256" s="2">
        <f>IF(A256="line",IF(D256="quote",E256,G256)&amp;"|"&amp;LOWER(TRIM(K256)),"")</f>
        <v/>
      </c>
      <c r="X256" s="2">
        <f>IF(OR(O256="LABOUR",O256="INSTALL"),"LABOUR_ALL",IF(O256="","",O256))</f>
        <v/>
      </c>
      <c r="Y256" s="9">
        <f>IF(AND(A256="line",D256="quote"),SUMIFS($N$2:$N$500,$W$2:$W$500,W256,$D$2:$D$500,"invoice",$A$2:$A$500,"line"),"")</f>
        <v/>
      </c>
      <c r="Z256" s="2">
        <f>IF(AND(A256="line",D256="quote"),COUNTIFS($W$2:$W$500,W256,$D$2:$D$500,"invoice",$A$2:$A$500,"line"),"")</f>
        <v/>
      </c>
      <c r="AA256" s="2">
        <f>IF(AND(A256="line",D256="invoice"),COUNTIFS($W$2:$W$500,W256,$D$2:$D$500,"quote",$A$2:$A$500,"line"),"")</f>
        <v/>
      </c>
      <c r="AB256" s="2">
        <f>IF(A256&lt;&gt;"line","",IF(D256="quote",IF(Z256=0,"quote only",IF(ABS(Y256-N256)&gt;Settings!$B$2,"amount differs","match")),IF(AA256=0,"invoice only","match")))</f>
        <v/>
      </c>
      <c r="AC256" s="2">
        <f>IF(AND(A256="line",AB256&lt;&gt;"match",COUNTIFS($A$2:$A$500,"coverage",$B$2:$B$500,B256,$C$2:$C$500,C256,$D$2:$D$500,"invoice")&gt;0),MAX($AC$1:AC255)+1,"")</f>
        <v/>
      </c>
      <c r="AD256" s="2">
        <f>IF(A256&lt;&gt;"line","",IF(O256="UNMAPPED","no mapping rule",IF(P256="L","low confidence","")))</f>
        <v/>
      </c>
      <c r="AE256" s="2">
        <f>IF(AD256&lt;&gt;"",MAX($AE$1:AE255)+1,"")</f>
        <v/>
      </c>
      <c r="AF256" s="2">
        <f>IF(A256="coverage",MAX($AF$1:AF255)+1,"")</f>
        <v/>
      </c>
      <c r="AG256" s="2">
        <f>IF(A256="line",IF(COUNTIFS($B$1:B255,B256,$C$1:C255,C256,$A$1:A255,"line")=0,MAX($AG$1:AG255)+1,""),"")</f>
        <v/>
      </c>
    </row>
    <row r="257">
      <c r="W257" s="2">
        <f>IF(A257="line",IF(D257="quote",E257,G257)&amp;"|"&amp;LOWER(TRIM(K257)),"")</f>
        <v/>
      </c>
      <c r="X257" s="2">
        <f>IF(OR(O257="LABOUR",O257="INSTALL"),"LABOUR_ALL",IF(O257="","",O257))</f>
        <v/>
      </c>
      <c r="Y257" s="9">
        <f>IF(AND(A257="line",D257="quote"),SUMIFS($N$2:$N$500,$W$2:$W$500,W257,$D$2:$D$500,"invoice",$A$2:$A$500,"line"),"")</f>
        <v/>
      </c>
      <c r="Z257" s="2">
        <f>IF(AND(A257="line",D257="quote"),COUNTIFS($W$2:$W$500,W257,$D$2:$D$500,"invoice",$A$2:$A$500,"line"),"")</f>
        <v/>
      </c>
      <c r="AA257" s="2">
        <f>IF(AND(A257="line",D257="invoice"),COUNTIFS($W$2:$W$500,W257,$D$2:$D$500,"quote",$A$2:$A$500,"line"),"")</f>
        <v/>
      </c>
      <c r="AB257" s="2">
        <f>IF(A257&lt;&gt;"line","",IF(D257="quote",IF(Z257=0,"quote only",IF(ABS(Y257-N257)&gt;Settings!$B$2,"amount differs","match")),IF(AA257=0,"invoice only","match")))</f>
        <v/>
      </c>
      <c r="AC257" s="2">
        <f>IF(AND(A257="line",AB257&lt;&gt;"match",COUNTIFS($A$2:$A$500,"coverage",$B$2:$B$500,B257,$C$2:$C$500,C257,$D$2:$D$500,"invoice")&gt;0),MAX($AC$1:AC256)+1,"")</f>
        <v/>
      </c>
      <c r="AD257" s="2">
        <f>IF(A257&lt;&gt;"line","",IF(O257="UNMAPPED","no mapping rule",IF(P257="L","low confidence","")))</f>
        <v/>
      </c>
      <c r="AE257" s="2">
        <f>IF(AD257&lt;&gt;"",MAX($AE$1:AE256)+1,"")</f>
        <v/>
      </c>
      <c r="AF257" s="2">
        <f>IF(A257="coverage",MAX($AF$1:AF256)+1,"")</f>
        <v/>
      </c>
      <c r="AG257" s="2">
        <f>IF(A257="line",IF(COUNTIFS($B$1:B256,B257,$C$1:C256,C257,$A$1:A256,"line")=0,MAX($AG$1:AG256)+1,""),"")</f>
        <v/>
      </c>
    </row>
    <row r="258">
      <c r="W258" s="2">
        <f>IF(A258="line",IF(D258="quote",E258,G258)&amp;"|"&amp;LOWER(TRIM(K258)),"")</f>
        <v/>
      </c>
      <c r="X258" s="2">
        <f>IF(OR(O258="LABOUR",O258="INSTALL"),"LABOUR_ALL",IF(O258="","",O258))</f>
        <v/>
      </c>
      <c r="Y258" s="9">
        <f>IF(AND(A258="line",D258="quote"),SUMIFS($N$2:$N$500,$W$2:$W$500,W258,$D$2:$D$500,"invoice",$A$2:$A$500,"line"),"")</f>
        <v/>
      </c>
      <c r="Z258" s="2">
        <f>IF(AND(A258="line",D258="quote"),COUNTIFS($W$2:$W$500,W258,$D$2:$D$500,"invoice",$A$2:$A$500,"line"),"")</f>
        <v/>
      </c>
      <c r="AA258" s="2">
        <f>IF(AND(A258="line",D258="invoice"),COUNTIFS($W$2:$W$500,W258,$D$2:$D$500,"quote",$A$2:$A$500,"line"),"")</f>
        <v/>
      </c>
      <c r="AB258" s="2">
        <f>IF(A258&lt;&gt;"line","",IF(D258="quote",IF(Z258=0,"quote only",IF(ABS(Y258-N258)&gt;Settings!$B$2,"amount differs","match")),IF(AA258=0,"invoice only","match")))</f>
        <v/>
      </c>
      <c r="AC258" s="2">
        <f>IF(AND(A258="line",AB258&lt;&gt;"match",COUNTIFS($A$2:$A$500,"coverage",$B$2:$B$500,B258,$C$2:$C$500,C258,$D$2:$D$500,"invoice")&gt;0),MAX($AC$1:AC257)+1,"")</f>
        <v/>
      </c>
      <c r="AD258" s="2">
        <f>IF(A258&lt;&gt;"line","",IF(O258="UNMAPPED","no mapping rule",IF(P258="L","low confidence","")))</f>
        <v/>
      </c>
      <c r="AE258" s="2">
        <f>IF(AD258&lt;&gt;"",MAX($AE$1:AE257)+1,"")</f>
        <v/>
      </c>
      <c r="AF258" s="2">
        <f>IF(A258="coverage",MAX($AF$1:AF257)+1,"")</f>
        <v/>
      </c>
      <c r="AG258" s="2">
        <f>IF(A258="line",IF(COUNTIFS($B$1:B257,B258,$C$1:C257,C258,$A$1:A257,"line")=0,MAX($AG$1:AG257)+1,""),"")</f>
        <v/>
      </c>
    </row>
    <row r="259">
      <c r="W259" s="2">
        <f>IF(A259="line",IF(D259="quote",E259,G259)&amp;"|"&amp;LOWER(TRIM(K259)),"")</f>
        <v/>
      </c>
      <c r="X259" s="2">
        <f>IF(OR(O259="LABOUR",O259="INSTALL"),"LABOUR_ALL",IF(O259="","",O259))</f>
        <v/>
      </c>
      <c r="Y259" s="9">
        <f>IF(AND(A259="line",D259="quote"),SUMIFS($N$2:$N$500,$W$2:$W$500,W259,$D$2:$D$500,"invoice",$A$2:$A$500,"line"),"")</f>
        <v/>
      </c>
      <c r="Z259" s="2">
        <f>IF(AND(A259="line",D259="quote"),COUNTIFS($W$2:$W$500,W259,$D$2:$D$500,"invoice",$A$2:$A$500,"line"),"")</f>
        <v/>
      </c>
      <c r="AA259" s="2">
        <f>IF(AND(A259="line",D259="invoice"),COUNTIFS($W$2:$W$500,W259,$D$2:$D$500,"quote",$A$2:$A$500,"line"),"")</f>
        <v/>
      </c>
      <c r="AB259" s="2">
        <f>IF(A259&lt;&gt;"line","",IF(D259="quote",IF(Z259=0,"quote only",IF(ABS(Y259-N259)&gt;Settings!$B$2,"amount differs","match")),IF(AA259=0,"invoice only","match")))</f>
        <v/>
      </c>
      <c r="AC259" s="2">
        <f>IF(AND(A259="line",AB259&lt;&gt;"match",COUNTIFS($A$2:$A$500,"coverage",$B$2:$B$500,B259,$C$2:$C$500,C259,$D$2:$D$500,"invoice")&gt;0),MAX($AC$1:AC258)+1,"")</f>
        <v/>
      </c>
      <c r="AD259" s="2">
        <f>IF(A259&lt;&gt;"line","",IF(O259="UNMAPPED","no mapping rule",IF(P259="L","low confidence","")))</f>
        <v/>
      </c>
      <c r="AE259" s="2">
        <f>IF(AD259&lt;&gt;"",MAX($AE$1:AE258)+1,"")</f>
        <v/>
      </c>
      <c r="AF259" s="2">
        <f>IF(A259="coverage",MAX($AF$1:AF258)+1,"")</f>
        <v/>
      </c>
      <c r="AG259" s="2">
        <f>IF(A259="line",IF(COUNTIFS($B$1:B258,B259,$C$1:C258,C259,$A$1:A258,"line")=0,MAX($AG$1:AG258)+1,""),"")</f>
        <v/>
      </c>
    </row>
    <row r="260">
      <c r="W260" s="2">
        <f>IF(A260="line",IF(D260="quote",E260,G260)&amp;"|"&amp;LOWER(TRIM(K260)),"")</f>
        <v/>
      </c>
      <c r="X260" s="2">
        <f>IF(OR(O260="LABOUR",O260="INSTALL"),"LABOUR_ALL",IF(O260="","",O260))</f>
        <v/>
      </c>
      <c r="Y260" s="9">
        <f>IF(AND(A260="line",D260="quote"),SUMIFS($N$2:$N$500,$W$2:$W$500,W260,$D$2:$D$500,"invoice",$A$2:$A$500,"line"),"")</f>
        <v/>
      </c>
      <c r="Z260" s="2">
        <f>IF(AND(A260="line",D260="quote"),COUNTIFS($W$2:$W$500,W260,$D$2:$D$500,"invoice",$A$2:$A$500,"line"),"")</f>
        <v/>
      </c>
      <c r="AA260" s="2">
        <f>IF(AND(A260="line",D260="invoice"),COUNTIFS($W$2:$W$500,W260,$D$2:$D$500,"quote",$A$2:$A$500,"line"),"")</f>
        <v/>
      </c>
      <c r="AB260" s="2">
        <f>IF(A260&lt;&gt;"line","",IF(D260="quote",IF(Z260=0,"quote only",IF(ABS(Y260-N260)&gt;Settings!$B$2,"amount differs","match")),IF(AA260=0,"invoice only","match")))</f>
        <v/>
      </c>
      <c r="AC260" s="2">
        <f>IF(AND(A260="line",AB260&lt;&gt;"match",COUNTIFS($A$2:$A$500,"coverage",$B$2:$B$500,B260,$C$2:$C$500,C260,$D$2:$D$500,"invoice")&gt;0),MAX($AC$1:AC259)+1,"")</f>
        <v/>
      </c>
      <c r="AD260" s="2">
        <f>IF(A260&lt;&gt;"line","",IF(O260="UNMAPPED","no mapping rule",IF(P260="L","low confidence","")))</f>
        <v/>
      </c>
      <c r="AE260" s="2">
        <f>IF(AD260&lt;&gt;"",MAX($AE$1:AE259)+1,"")</f>
        <v/>
      </c>
      <c r="AF260" s="2">
        <f>IF(A260="coverage",MAX($AF$1:AF259)+1,"")</f>
        <v/>
      </c>
      <c r="AG260" s="2">
        <f>IF(A260="line",IF(COUNTIFS($B$1:B259,B260,$C$1:C259,C260,$A$1:A259,"line")=0,MAX($AG$1:AG259)+1,""),"")</f>
        <v/>
      </c>
    </row>
    <row r="261">
      <c r="W261" s="2">
        <f>IF(A261="line",IF(D261="quote",E261,G261)&amp;"|"&amp;LOWER(TRIM(K261)),"")</f>
        <v/>
      </c>
      <c r="X261" s="2">
        <f>IF(OR(O261="LABOUR",O261="INSTALL"),"LABOUR_ALL",IF(O261="","",O261))</f>
        <v/>
      </c>
      <c r="Y261" s="9">
        <f>IF(AND(A261="line",D261="quote"),SUMIFS($N$2:$N$500,$W$2:$W$500,W261,$D$2:$D$500,"invoice",$A$2:$A$500,"line"),"")</f>
        <v/>
      </c>
      <c r="Z261" s="2">
        <f>IF(AND(A261="line",D261="quote"),COUNTIFS($W$2:$W$500,W261,$D$2:$D$500,"invoice",$A$2:$A$500,"line"),"")</f>
        <v/>
      </c>
      <c r="AA261" s="2">
        <f>IF(AND(A261="line",D261="invoice"),COUNTIFS($W$2:$W$500,W261,$D$2:$D$500,"quote",$A$2:$A$500,"line"),"")</f>
        <v/>
      </c>
      <c r="AB261" s="2">
        <f>IF(A261&lt;&gt;"line","",IF(D261="quote",IF(Z261=0,"quote only",IF(ABS(Y261-N261)&gt;Settings!$B$2,"amount differs","match")),IF(AA261=0,"invoice only","match")))</f>
        <v/>
      </c>
      <c r="AC261" s="2">
        <f>IF(AND(A261="line",AB261&lt;&gt;"match",COUNTIFS($A$2:$A$500,"coverage",$B$2:$B$500,B261,$C$2:$C$500,C261,$D$2:$D$500,"invoice")&gt;0),MAX($AC$1:AC260)+1,"")</f>
        <v/>
      </c>
      <c r="AD261" s="2">
        <f>IF(A261&lt;&gt;"line","",IF(O261="UNMAPPED","no mapping rule",IF(P261="L","low confidence","")))</f>
        <v/>
      </c>
      <c r="AE261" s="2">
        <f>IF(AD261&lt;&gt;"",MAX($AE$1:AE260)+1,"")</f>
        <v/>
      </c>
      <c r="AF261" s="2">
        <f>IF(A261="coverage",MAX($AF$1:AF260)+1,"")</f>
        <v/>
      </c>
      <c r="AG261" s="2">
        <f>IF(A261="line",IF(COUNTIFS($B$1:B260,B261,$C$1:C260,C261,$A$1:A260,"line")=0,MAX($AG$1:AG260)+1,""),"")</f>
        <v/>
      </c>
    </row>
    <row r="262">
      <c r="W262" s="2">
        <f>IF(A262="line",IF(D262="quote",E262,G262)&amp;"|"&amp;LOWER(TRIM(K262)),"")</f>
        <v/>
      </c>
      <c r="X262" s="2">
        <f>IF(OR(O262="LABOUR",O262="INSTALL"),"LABOUR_ALL",IF(O262="","",O262))</f>
        <v/>
      </c>
      <c r="Y262" s="9">
        <f>IF(AND(A262="line",D262="quote"),SUMIFS($N$2:$N$500,$W$2:$W$500,W262,$D$2:$D$500,"invoice",$A$2:$A$500,"line"),"")</f>
        <v/>
      </c>
      <c r="Z262" s="2">
        <f>IF(AND(A262="line",D262="quote"),COUNTIFS($W$2:$W$500,W262,$D$2:$D$500,"invoice",$A$2:$A$500,"line"),"")</f>
        <v/>
      </c>
      <c r="AA262" s="2">
        <f>IF(AND(A262="line",D262="invoice"),COUNTIFS($W$2:$W$500,W262,$D$2:$D$500,"quote",$A$2:$A$500,"line"),"")</f>
        <v/>
      </c>
      <c r="AB262" s="2">
        <f>IF(A262&lt;&gt;"line","",IF(D262="quote",IF(Z262=0,"quote only",IF(ABS(Y262-N262)&gt;Settings!$B$2,"amount differs","match")),IF(AA262=0,"invoice only","match")))</f>
        <v/>
      </c>
      <c r="AC262" s="2">
        <f>IF(AND(A262="line",AB262&lt;&gt;"match",COUNTIFS($A$2:$A$500,"coverage",$B$2:$B$500,B262,$C$2:$C$500,C262,$D$2:$D$500,"invoice")&gt;0),MAX($AC$1:AC261)+1,"")</f>
        <v/>
      </c>
      <c r="AD262" s="2">
        <f>IF(A262&lt;&gt;"line","",IF(O262="UNMAPPED","no mapping rule",IF(P262="L","low confidence","")))</f>
        <v/>
      </c>
      <c r="AE262" s="2">
        <f>IF(AD262&lt;&gt;"",MAX($AE$1:AE261)+1,"")</f>
        <v/>
      </c>
      <c r="AF262" s="2">
        <f>IF(A262="coverage",MAX($AF$1:AF261)+1,"")</f>
        <v/>
      </c>
      <c r="AG262" s="2">
        <f>IF(A262="line",IF(COUNTIFS($B$1:B261,B262,$C$1:C261,C262,$A$1:A261,"line")=0,MAX($AG$1:AG261)+1,""),"")</f>
        <v/>
      </c>
    </row>
    <row r="263">
      <c r="W263" s="2">
        <f>IF(A263="line",IF(D263="quote",E263,G263)&amp;"|"&amp;LOWER(TRIM(K263)),"")</f>
        <v/>
      </c>
      <c r="X263" s="2">
        <f>IF(OR(O263="LABOUR",O263="INSTALL"),"LABOUR_ALL",IF(O263="","",O263))</f>
        <v/>
      </c>
      <c r="Y263" s="9">
        <f>IF(AND(A263="line",D263="quote"),SUMIFS($N$2:$N$500,$W$2:$W$500,W263,$D$2:$D$500,"invoice",$A$2:$A$500,"line"),"")</f>
        <v/>
      </c>
      <c r="Z263" s="2">
        <f>IF(AND(A263="line",D263="quote"),COUNTIFS($W$2:$W$500,W263,$D$2:$D$500,"invoice",$A$2:$A$500,"line"),"")</f>
        <v/>
      </c>
      <c r="AA263" s="2">
        <f>IF(AND(A263="line",D263="invoice"),COUNTIFS($W$2:$W$500,W263,$D$2:$D$500,"quote",$A$2:$A$500,"line"),"")</f>
        <v/>
      </c>
      <c r="AB263" s="2">
        <f>IF(A263&lt;&gt;"line","",IF(D263="quote",IF(Z263=0,"quote only",IF(ABS(Y263-N263)&gt;Settings!$B$2,"amount differs","match")),IF(AA263=0,"invoice only","match")))</f>
        <v/>
      </c>
      <c r="AC263" s="2">
        <f>IF(AND(A263="line",AB263&lt;&gt;"match",COUNTIFS($A$2:$A$500,"coverage",$B$2:$B$500,B263,$C$2:$C$500,C263,$D$2:$D$500,"invoice")&gt;0),MAX($AC$1:AC262)+1,"")</f>
        <v/>
      </c>
      <c r="AD263" s="2">
        <f>IF(A263&lt;&gt;"line","",IF(O263="UNMAPPED","no mapping rule",IF(P263="L","low confidence","")))</f>
        <v/>
      </c>
      <c r="AE263" s="2">
        <f>IF(AD263&lt;&gt;"",MAX($AE$1:AE262)+1,"")</f>
        <v/>
      </c>
      <c r="AF263" s="2">
        <f>IF(A263="coverage",MAX($AF$1:AF262)+1,"")</f>
        <v/>
      </c>
      <c r="AG263" s="2">
        <f>IF(A263="line",IF(COUNTIFS($B$1:B262,B263,$C$1:C262,C263,$A$1:A262,"line")=0,MAX($AG$1:AG262)+1,""),"")</f>
        <v/>
      </c>
    </row>
    <row r="264">
      <c r="W264" s="2">
        <f>IF(A264="line",IF(D264="quote",E264,G264)&amp;"|"&amp;LOWER(TRIM(K264)),"")</f>
        <v/>
      </c>
      <c r="X264" s="2">
        <f>IF(OR(O264="LABOUR",O264="INSTALL"),"LABOUR_ALL",IF(O264="","",O264))</f>
        <v/>
      </c>
      <c r="Y264" s="9">
        <f>IF(AND(A264="line",D264="quote"),SUMIFS($N$2:$N$500,$W$2:$W$500,W264,$D$2:$D$500,"invoice",$A$2:$A$500,"line"),"")</f>
        <v/>
      </c>
      <c r="Z264" s="2">
        <f>IF(AND(A264="line",D264="quote"),COUNTIFS($W$2:$W$500,W264,$D$2:$D$500,"invoice",$A$2:$A$500,"line"),"")</f>
        <v/>
      </c>
      <c r="AA264" s="2">
        <f>IF(AND(A264="line",D264="invoice"),COUNTIFS($W$2:$W$500,W264,$D$2:$D$500,"quote",$A$2:$A$500,"line"),"")</f>
        <v/>
      </c>
      <c r="AB264" s="2">
        <f>IF(A264&lt;&gt;"line","",IF(D264="quote",IF(Z264=0,"quote only",IF(ABS(Y264-N264)&gt;Settings!$B$2,"amount differs","match")),IF(AA264=0,"invoice only","match")))</f>
        <v/>
      </c>
      <c r="AC264" s="2">
        <f>IF(AND(A264="line",AB264&lt;&gt;"match",COUNTIFS($A$2:$A$500,"coverage",$B$2:$B$500,B264,$C$2:$C$500,C264,$D$2:$D$500,"invoice")&gt;0),MAX($AC$1:AC263)+1,"")</f>
        <v/>
      </c>
      <c r="AD264" s="2">
        <f>IF(A264&lt;&gt;"line","",IF(O264="UNMAPPED","no mapping rule",IF(P264="L","low confidence","")))</f>
        <v/>
      </c>
      <c r="AE264" s="2">
        <f>IF(AD264&lt;&gt;"",MAX($AE$1:AE263)+1,"")</f>
        <v/>
      </c>
      <c r="AF264" s="2">
        <f>IF(A264="coverage",MAX($AF$1:AF263)+1,"")</f>
        <v/>
      </c>
      <c r="AG264" s="2">
        <f>IF(A264="line",IF(COUNTIFS($B$1:B263,B264,$C$1:C263,C264,$A$1:A263,"line")=0,MAX($AG$1:AG263)+1,""),"")</f>
        <v/>
      </c>
    </row>
    <row r="265">
      <c r="W265" s="2">
        <f>IF(A265="line",IF(D265="quote",E265,G265)&amp;"|"&amp;LOWER(TRIM(K265)),"")</f>
        <v/>
      </c>
      <c r="X265" s="2">
        <f>IF(OR(O265="LABOUR",O265="INSTALL"),"LABOUR_ALL",IF(O265="","",O265))</f>
        <v/>
      </c>
      <c r="Y265" s="9">
        <f>IF(AND(A265="line",D265="quote"),SUMIFS($N$2:$N$500,$W$2:$W$500,W265,$D$2:$D$500,"invoice",$A$2:$A$500,"line"),"")</f>
        <v/>
      </c>
      <c r="Z265" s="2">
        <f>IF(AND(A265="line",D265="quote"),COUNTIFS($W$2:$W$500,W265,$D$2:$D$500,"invoice",$A$2:$A$500,"line"),"")</f>
        <v/>
      </c>
      <c r="AA265" s="2">
        <f>IF(AND(A265="line",D265="invoice"),COUNTIFS($W$2:$W$500,W265,$D$2:$D$500,"quote",$A$2:$A$500,"line"),"")</f>
        <v/>
      </c>
      <c r="AB265" s="2">
        <f>IF(A265&lt;&gt;"line","",IF(D265="quote",IF(Z265=0,"quote only",IF(ABS(Y265-N265)&gt;Settings!$B$2,"amount differs","match")),IF(AA265=0,"invoice only","match")))</f>
        <v/>
      </c>
      <c r="AC265" s="2">
        <f>IF(AND(A265="line",AB265&lt;&gt;"match",COUNTIFS($A$2:$A$500,"coverage",$B$2:$B$500,B265,$C$2:$C$500,C265,$D$2:$D$500,"invoice")&gt;0),MAX($AC$1:AC264)+1,"")</f>
        <v/>
      </c>
      <c r="AD265" s="2">
        <f>IF(A265&lt;&gt;"line","",IF(O265="UNMAPPED","no mapping rule",IF(P265="L","low confidence","")))</f>
        <v/>
      </c>
      <c r="AE265" s="2">
        <f>IF(AD265&lt;&gt;"",MAX($AE$1:AE264)+1,"")</f>
        <v/>
      </c>
      <c r="AF265" s="2">
        <f>IF(A265="coverage",MAX($AF$1:AF264)+1,"")</f>
        <v/>
      </c>
      <c r="AG265" s="2">
        <f>IF(A265="line",IF(COUNTIFS($B$1:B264,B265,$C$1:C264,C265,$A$1:A264,"line")=0,MAX($AG$1:AG264)+1,""),"")</f>
        <v/>
      </c>
    </row>
    <row r="266">
      <c r="W266" s="2">
        <f>IF(A266="line",IF(D266="quote",E266,G266)&amp;"|"&amp;LOWER(TRIM(K266)),"")</f>
        <v/>
      </c>
      <c r="X266" s="2">
        <f>IF(OR(O266="LABOUR",O266="INSTALL"),"LABOUR_ALL",IF(O266="","",O266))</f>
        <v/>
      </c>
      <c r="Y266" s="9">
        <f>IF(AND(A266="line",D266="quote"),SUMIFS($N$2:$N$500,$W$2:$W$500,W266,$D$2:$D$500,"invoice",$A$2:$A$500,"line"),"")</f>
        <v/>
      </c>
      <c r="Z266" s="2">
        <f>IF(AND(A266="line",D266="quote"),COUNTIFS($W$2:$W$500,W266,$D$2:$D$500,"invoice",$A$2:$A$500,"line"),"")</f>
        <v/>
      </c>
      <c r="AA266" s="2">
        <f>IF(AND(A266="line",D266="invoice"),COUNTIFS($W$2:$W$500,W266,$D$2:$D$500,"quote",$A$2:$A$500,"line"),"")</f>
        <v/>
      </c>
      <c r="AB266" s="2">
        <f>IF(A266&lt;&gt;"line","",IF(D266="quote",IF(Z266=0,"quote only",IF(ABS(Y266-N266)&gt;Settings!$B$2,"amount differs","match")),IF(AA266=0,"invoice only","match")))</f>
        <v/>
      </c>
      <c r="AC266" s="2">
        <f>IF(AND(A266="line",AB266&lt;&gt;"match",COUNTIFS($A$2:$A$500,"coverage",$B$2:$B$500,B266,$C$2:$C$500,C266,$D$2:$D$500,"invoice")&gt;0),MAX($AC$1:AC265)+1,"")</f>
        <v/>
      </c>
      <c r="AD266" s="2">
        <f>IF(A266&lt;&gt;"line","",IF(O266="UNMAPPED","no mapping rule",IF(P266="L","low confidence","")))</f>
        <v/>
      </c>
      <c r="AE266" s="2">
        <f>IF(AD266&lt;&gt;"",MAX($AE$1:AE265)+1,"")</f>
        <v/>
      </c>
      <c r="AF266" s="2">
        <f>IF(A266="coverage",MAX($AF$1:AF265)+1,"")</f>
        <v/>
      </c>
      <c r="AG266" s="2">
        <f>IF(A266="line",IF(COUNTIFS($B$1:B265,B266,$C$1:C265,C266,$A$1:A265,"line")=0,MAX($AG$1:AG265)+1,""),"")</f>
        <v/>
      </c>
    </row>
    <row r="267">
      <c r="W267" s="2">
        <f>IF(A267="line",IF(D267="quote",E267,G267)&amp;"|"&amp;LOWER(TRIM(K267)),"")</f>
        <v/>
      </c>
      <c r="X267" s="2">
        <f>IF(OR(O267="LABOUR",O267="INSTALL"),"LABOUR_ALL",IF(O267="","",O267))</f>
        <v/>
      </c>
      <c r="Y267" s="9">
        <f>IF(AND(A267="line",D267="quote"),SUMIFS($N$2:$N$500,$W$2:$W$500,W267,$D$2:$D$500,"invoice",$A$2:$A$500,"line"),"")</f>
        <v/>
      </c>
      <c r="Z267" s="2">
        <f>IF(AND(A267="line",D267="quote"),COUNTIFS($W$2:$W$500,W267,$D$2:$D$500,"invoice",$A$2:$A$500,"line"),"")</f>
        <v/>
      </c>
      <c r="AA267" s="2">
        <f>IF(AND(A267="line",D267="invoice"),COUNTIFS($W$2:$W$500,W267,$D$2:$D$500,"quote",$A$2:$A$500,"line"),"")</f>
        <v/>
      </c>
      <c r="AB267" s="2">
        <f>IF(A267&lt;&gt;"line","",IF(D267="quote",IF(Z267=0,"quote only",IF(ABS(Y267-N267)&gt;Settings!$B$2,"amount differs","match")),IF(AA267=0,"invoice only","match")))</f>
        <v/>
      </c>
      <c r="AC267" s="2">
        <f>IF(AND(A267="line",AB267&lt;&gt;"match",COUNTIFS($A$2:$A$500,"coverage",$B$2:$B$500,B267,$C$2:$C$500,C267,$D$2:$D$500,"invoice")&gt;0),MAX($AC$1:AC266)+1,"")</f>
        <v/>
      </c>
      <c r="AD267" s="2">
        <f>IF(A267&lt;&gt;"line","",IF(O267="UNMAPPED","no mapping rule",IF(P267="L","low confidence","")))</f>
        <v/>
      </c>
      <c r="AE267" s="2">
        <f>IF(AD267&lt;&gt;"",MAX($AE$1:AE266)+1,"")</f>
        <v/>
      </c>
      <c r="AF267" s="2">
        <f>IF(A267="coverage",MAX($AF$1:AF266)+1,"")</f>
        <v/>
      </c>
      <c r="AG267" s="2">
        <f>IF(A267="line",IF(COUNTIFS($B$1:B266,B267,$C$1:C266,C267,$A$1:A266,"line")=0,MAX($AG$1:AG266)+1,""),"")</f>
        <v/>
      </c>
    </row>
    <row r="268">
      <c r="W268" s="2">
        <f>IF(A268="line",IF(D268="quote",E268,G268)&amp;"|"&amp;LOWER(TRIM(K268)),"")</f>
        <v/>
      </c>
      <c r="X268" s="2">
        <f>IF(OR(O268="LABOUR",O268="INSTALL"),"LABOUR_ALL",IF(O268="","",O268))</f>
        <v/>
      </c>
      <c r="Y268" s="9">
        <f>IF(AND(A268="line",D268="quote"),SUMIFS($N$2:$N$500,$W$2:$W$500,W268,$D$2:$D$500,"invoice",$A$2:$A$500,"line"),"")</f>
        <v/>
      </c>
      <c r="Z268" s="2">
        <f>IF(AND(A268="line",D268="quote"),COUNTIFS($W$2:$W$500,W268,$D$2:$D$500,"invoice",$A$2:$A$500,"line"),"")</f>
        <v/>
      </c>
      <c r="AA268" s="2">
        <f>IF(AND(A268="line",D268="invoice"),COUNTIFS($W$2:$W$500,W268,$D$2:$D$500,"quote",$A$2:$A$500,"line"),"")</f>
        <v/>
      </c>
      <c r="AB268" s="2">
        <f>IF(A268&lt;&gt;"line","",IF(D268="quote",IF(Z268=0,"quote only",IF(ABS(Y268-N268)&gt;Settings!$B$2,"amount differs","match")),IF(AA268=0,"invoice only","match")))</f>
        <v/>
      </c>
      <c r="AC268" s="2">
        <f>IF(AND(A268="line",AB268&lt;&gt;"match",COUNTIFS($A$2:$A$500,"coverage",$B$2:$B$500,B268,$C$2:$C$500,C268,$D$2:$D$500,"invoice")&gt;0),MAX($AC$1:AC267)+1,"")</f>
        <v/>
      </c>
      <c r="AD268" s="2">
        <f>IF(A268&lt;&gt;"line","",IF(O268="UNMAPPED","no mapping rule",IF(P268="L","low confidence","")))</f>
        <v/>
      </c>
      <c r="AE268" s="2">
        <f>IF(AD268&lt;&gt;"",MAX($AE$1:AE267)+1,"")</f>
        <v/>
      </c>
      <c r="AF268" s="2">
        <f>IF(A268="coverage",MAX($AF$1:AF267)+1,"")</f>
        <v/>
      </c>
      <c r="AG268" s="2">
        <f>IF(A268="line",IF(COUNTIFS($B$1:B267,B268,$C$1:C267,C268,$A$1:A267,"line")=0,MAX($AG$1:AG267)+1,""),"")</f>
        <v/>
      </c>
    </row>
    <row r="269">
      <c r="W269" s="2">
        <f>IF(A269="line",IF(D269="quote",E269,G269)&amp;"|"&amp;LOWER(TRIM(K269)),"")</f>
        <v/>
      </c>
      <c r="X269" s="2">
        <f>IF(OR(O269="LABOUR",O269="INSTALL"),"LABOUR_ALL",IF(O269="","",O269))</f>
        <v/>
      </c>
      <c r="Y269" s="9">
        <f>IF(AND(A269="line",D269="quote"),SUMIFS($N$2:$N$500,$W$2:$W$500,W269,$D$2:$D$500,"invoice",$A$2:$A$500,"line"),"")</f>
        <v/>
      </c>
      <c r="Z269" s="2">
        <f>IF(AND(A269="line",D269="quote"),COUNTIFS($W$2:$W$500,W269,$D$2:$D$500,"invoice",$A$2:$A$500,"line"),"")</f>
        <v/>
      </c>
      <c r="AA269" s="2">
        <f>IF(AND(A269="line",D269="invoice"),COUNTIFS($W$2:$W$500,W269,$D$2:$D$500,"quote",$A$2:$A$500,"line"),"")</f>
        <v/>
      </c>
      <c r="AB269" s="2">
        <f>IF(A269&lt;&gt;"line","",IF(D269="quote",IF(Z269=0,"quote only",IF(ABS(Y269-N269)&gt;Settings!$B$2,"amount differs","match")),IF(AA269=0,"invoice only","match")))</f>
        <v/>
      </c>
      <c r="AC269" s="2">
        <f>IF(AND(A269="line",AB269&lt;&gt;"match",COUNTIFS($A$2:$A$500,"coverage",$B$2:$B$500,B269,$C$2:$C$500,C269,$D$2:$D$500,"invoice")&gt;0),MAX($AC$1:AC268)+1,"")</f>
        <v/>
      </c>
      <c r="AD269" s="2">
        <f>IF(A269&lt;&gt;"line","",IF(O269="UNMAPPED","no mapping rule",IF(P269="L","low confidence","")))</f>
        <v/>
      </c>
      <c r="AE269" s="2">
        <f>IF(AD269&lt;&gt;"",MAX($AE$1:AE268)+1,"")</f>
        <v/>
      </c>
      <c r="AF269" s="2">
        <f>IF(A269="coverage",MAX($AF$1:AF268)+1,"")</f>
        <v/>
      </c>
      <c r="AG269" s="2">
        <f>IF(A269="line",IF(COUNTIFS($B$1:B268,B269,$C$1:C268,C269,$A$1:A268,"line")=0,MAX($AG$1:AG268)+1,""),"")</f>
        <v/>
      </c>
    </row>
    <row r="270">
      <c r="W270" s="2">
        <f>IF(A270="line",IF(D270="quote",E270,G270)&amp;"|"&amp;LOWER(TRIM(K270)),"")</f>
        <v/>
      </c>
      <c r="X270" s="2">
        <f>IF(OR(O270="LABOUR",O270="INSTALL"),"LABOUR_ALL",IF(O270="","",O270))</f>
        <v/>
      </c>
      <c r="Y270" s="9">
        <f>IF(AND(A270="line",D270="quote"),SUMIFS($N$2:$N$500,$W$2:$W$500,W270,$D$2:$D$500,"invoice",$A$2:$A$500,"line"),"")</f>
        <v/>
      </c>
      <c r="Z270" s="2">
        <f>IF(AND(A270="line",D270="quote"),COUNTIFS($W$2:$W$500,W270,$D$2:$D$500,"invoice",$A$2:$A$500,"line"),"")</f>
        <v/>
      </c>
      <c r="AA270" s="2">
        <f>IF(AND(A270="line",D270="invoice"),COUNTIFS($W$2:$W$500,W270,$D$2:$D$500,"quote",$A$2:$A$500,"line"),"")</f>
        <v/>
      </c>
      <c r="AB270" s="2">
        <f>IF(A270&lt;&gt;"line","",IF(D270="quote",IF(Z270=0,"quote only",IF(ABS(Y270-N270)&gt;Settings!$B$2,"amount differs","match")),IF(AA270=0,"invoice only","match")))</f>
        <v/>
      </c>
      <c r="AC270" s="2">
        <f>IF(AND(A270="line",AB270&lt;&gt;"match",COUNTIFS($A$2:$A$500,"coverage",$B$2:$B$500,B270,$C$2:$C$500,C270,$D$2:$D$500,"invoice")&gt;0),MAX($AC$1:AC269)+1,"")</f>
        <v/>
      </c>
      <c r="AD270" s="2">
        <f>IF(A270&lt;&gt;"line","",IF(O270="UNMAPPED","no mapping rule",IF(P270="L","low confidence","")))</f>
        <v/>
      </c>
      <c r="AE270" s="2">
        <f>IF(AD270&lt;&gt;"",MAX($AE$1:AE269)+1,"")</f>
        <v/>
      </c>
      <c r="AF270" s="2">
        <f>IF(A270="coverage",MAX($AF$1:AF269)+1,"")</f>
        <v/>
      </c>
      <c r="AG270" s="2">
        <f>IF(A270="line",IF(COUNTIFS($B$1:B269,B270,$C$1:C269,C270,$A$1:A269,"line")=0,MAX($AG$1:AG269)+1,""),"")</f>
        <v/>
      </c>
    </row>
    <row r="271">
      <c r="W271" s="2">
        <f>IF(A271="line",IF(D271="quote",E271,G271)&amp;"|"&amp;LOWER(TRIM(K271)),"")</f>
        <v/>
      </c>
      <c r="X271" s="2">
        <f>IF(OR(O271="LABOUR",O271="INSTALL"),"LABOUR_ALL",IF(O271="","",O271))</f>
        <v/>
      </c>
      <c r="Y271" s="9">
        <f>IF(AND(A271="line",D271="quote"),SUMIFS($N$2:$N$500,$W$2:$W$500,W271,$D$2:$D$500,"invoice",$A$2:$A$500,"line"),"")</f>
        <v/>
      </c>
      <c r="Z271" s="2">
        <f>IF(AND(A271="line",D271="quote"),COUNTIFS($W$2:$W$500,W271,$D$2:$D$500,"invoice",$A$2:$A$500,"line"),"")</f>
        <v/>
      </c>
      <c r="AA271" s="2">
        <f>IF(AND(A271="line",D271="invoice"),COUNTIFS($W$2:$W$500,W271,$D$2:$D$500,"quote",$A$2:$A$500,"line"),"")</f>
        <v/>
      </c>
      <c r="AB271" s="2">
        <f>IF(A271&lt;&gt;"line","",IF(D271="quote",IF(Z271=0,"quote only",IF(ABS(Y271-N271)&gt;Settings!$B$2,"amount differs","match")),IF(AA271=0,"invoice only","match")))</f>
        <v/>
      </c>
      <c r="AC271" s="2">
        <f>IF(AND(A271="line",AB271&lt;&gt;"match",COUNTIFS($A$2:$A$500,"coverage",$B$2:$B$500,B271,$C$2:$C$500,C271,$D$2:$D$500,"invoice")&gt;0),MAX($AC$1:AC270)+1,"")</f>
        <v/>
      </c>
      <c r="AD271" s="2">
        <f>IF(A271&lt;&gt;"line","",IF(O271="UNMAPPED","no mapping rule",IF(P271="L","low confidence","")))</f>
        <v/>
      </c>
      <c r="AE271" s="2">
        <f>IF(AD271&lt;&gt;"",MAX($AE$1:AE270)+1,"")</f>
        <v/>
      </c>
      <c r="AF271" s="2">
        <f>IF(A271="coverage",MAX($AF$1:AF270)+1,"")</f>
        <v/>
      </c>
      <c r="AG271" s="2">
        <f>IF(A271="line",IF(COUNTIFS($B$1:B270,B271,$C$1:C270,C271,$A$1:A270,"line")=0,MAX($AG$1:AG270)+1,""),"")</f>
        <v/>
      </c>
    </row>
    <row r="272">
      <c r="W272" s="2">
        <f>IF(A272="line",IF(D272="quote",E272,G272)&amp;"|"&amp;LOWER(TRIM(K272)),"")</f>
        <v/>
      </c>
      <c r="X272" s="2">
        <f>IF(OR(O272="LABOUR",O272="INSTALL"),"LABOUR_ALL",IF(O272="","",O272))</f>
        <v/>
      </c>
      <c r="Y272" s="9">
        <f>IF(AND(A272="line",D272="quote"),SUMIFS($N$2:$N$500,$W$2:$W$500,W272,$D$2:$D$500,"invoice",$A$2:$A$500,"line"),"")</f>
        <v/>
      </c>
      <c r="Z272" s="2">
        <f>IF(AND(A272="line",D272="quote"),COUNTIFS($W$2:$W$500,W272,$D$2:$D$500,"invoice",$A$2:$A$500,"line"),"")</f>
        <v/>
      </c>
      <c r="AA272" s="2">
        <f>IF(AND(A272="line",D272="invoice"),COUNTIFS($W$2:$W$500,W272,$D$2:$D$500,"quote",$A$2:$A$500,"line"),"")</f>
        <v/>
      </c>
      <c r="AB272" s="2">
        <f>IF(A272&lt;&gt;"line","",IF(D272="quote",IF(Z272=0,"quote only",IF(ABS(Y272-N272)&gt;Settings!$B$2,"amount differs","match")),IF(AA272=0,"invoice only","match")))</f>
        <v/>
      </c>
      <c r="AC272" s="2">
        <f>IF(AND(A272="line",AB272&lt;&gt;"match",COUNTIFS($A$2:$A$500,"coverage",$B$2:$B$500,B272,$C$2:$C$500,C272,$D$2:$D$500,"invoice")&gt;0),MAX($AC$1:AC271)+1,"")</f>
        <v/>
      </c>
      <c r="AD272" s="2">
        <f>IF(A272&lt;&gt;"line","",IF(O272="UNMAPPED","no mapping rule",IF(P272="L","low confidence","")))</f>
        <v/>
      </c>
      <c r="AE272" s="2">
        <f>IF(AD272&lt;&gt;"",MAX($AE$1:AE271)+1,"")</f>
        <v/>
      </c>
      <c r="AF272" s="2">
        <f>IF(A272="coverage",MAX($AF$1:AF271)+1,"")</f>
        <v/>
      </c>
      <c r="AG272" s="2">
        <f>IF(A272="line",IF(COUNTIFS($B$1:B271,B272,$C$1:C271,C272,$A$1:A271,"line")=0,MAX($AG$1:AG271)+1,""),"")</f>
        <v/>
      </c>
    </row>
    <row r="273">
      <c r="W273" s="2">
        <f>IF(A273="line",IF(D273="quote",E273,G273)&amp;"|"&amp;LOWER(TRIM(K273)),"")</f>
        <v/>
      </c>
      <c r="X273" s="2">
        <f>IF(OR(O273="LABOUR",O273="INSTALL"),"LABOUR_ALL",IF(O273="","",O273))</f>
        <v/>
      </c>
      <c r="Y273" s="9">
        <f>IF(AND(A273="line",D273="quote"),SUMIFS($N$2:$N$500,$W$2:$W$500,W273,$D$2:$D$500,"invoice",$A$2:$A$500,"line"),"")</f>
        <v/>
      </c>
      <c r="Z273" s="2">
        <f>IF(AND(A273="line",D273="quote"),COUNTIFS($W$2:$W$500,W273,$D$2:$D$500,"invoice",$A$2:$A$500,"line"),"")</f>
        <v/>
      </c>
      <c r="AA273" s="2">
        <f>IF(AND(A273="line",D273="invoice"),COUNTIFS($W$2:$W$500,W273,$D$2:$D$500,"quote",$A$2:$A$500,"line"),"")</f>
        <v/>
      </c>
      <c r="AB273" s="2">
        <f>IF(A273&lt;&gt;"line","",IF(D273="quote",IF(Z273=0,"quote only",IF(ABS(Y273-N273)&gt;Settings!$B$2,"amount differs","match")),IF(AA273=0,"invoice only","match")))</f>
        <v/>
      </c>
      <c r="AC273" s="2">
        <f>IF(AND(A273="line",AB273&lt;&gt;"match",COUNTIFS($A$2:$A$500,"coverage",$B$2:$B$500,B273,$C$2:$C$500,C273,$D$2:$D$500,"invoice")&gt;0),MAX($AC$1:AC272)+1,"")</f>
        <v/>
      </c>
      <c r="AD273" s="2">
        <f>IF(A273&lt;&gt;"line","",IF(O273="UNMAPPED","no mapping rule",IF(P273="L","low confidence","")))</f>
        <v/>
      </c>
      <c r="AE273" s="2">
        <f>IF(AD273&lt;&gt;"",MAX($AE$1:AE272)+1,"")</f>
        <v/>
      </c>
      <c r="AF273" s="2">
        <f>IF(A273="coverage",MAX($AF$1:AF272)+1,"")</f>
        <v/>
      </c>
      <c r="AG273" s="2">
        <f>IF(A273="line",IF(COUNTIFS($B$1:B272,B273,$C$1:C272,C273,$A$1:A272,"line")=0,MAX($AG$1:AG272)+1,""),"")</f>
        <v/>
      </c>
    </row>
    <row r="274">
      <c r="W274" s="2">
        <f>IF(A274="line",IF(D274="quote",E274,G274)&amp;"|"&amp;LOWER(TRIM(K274)),"")</f>
        <v/>
      </c>
      <c r="X274" s="2">
        <f>IF(OR(O274="LABOUR",O274="INSTALL"),"LABOUR_ALL",IF(O274="","",O274))</f>
        <v/>
      </c>
      <c r="Y274" s="9">
        <f>IF(AND(A274="line",D274="quote"),SUMIFS($N$2:$N$500,$W$2:$W$500,W274,$D$2:$D$500,"invoice",$A$2:$A$500,"line"),"")</f>
        <v/>
      </c>
      <c r="Z274" s="2">
        <f>IF(AND(A274="line",D274="quote"),COUNTIFS($W$2:$W$500,W274,$D$2:$D$500,"invoice",$A$2:$A$500,"line"),"")</f>
        <v/>
      </c>
      <c r="AA274" s="2">
        <f>IF(AND(A274="line",D274="invoice"),COUNTIFS($W$2:$W$500,W274,$D$2:$D$500,"quote",$A$2:$A$500,"line"),"")</f>
        <v/>
      </c>
      <c r="AB274" s="2">
        <f>IF(A274&lt;&gt;"line","",IF(D274="quote",IF(Z274=0,"quote only",IF(ABS(Y274-N274)&gt;Settings!$B$2,"amount differs","match")),IF(AA274=0,"invoice only","match")))</f>
        <v/>
      </c>
      <c r="AC274" s="2">
        <f>IF(AND(A274="line",AB274&lt;&gt;"match",COUNTIFS($A$2:$A$500,"coverage",$B$2:$B$500,B274,$C$2:$C$500,C274,$D$2:$D$500,"invoice")&gt;0),MAX($AC$1:AC273)+1,"")</f>
        <v/>
      </c>
      <c r="AD274" s="2">
        <f>IF(A274&lt;&gt;"line","",IF(O274="UNMAPPED","no mapping rule",IF(P274="L","low confidence","")))</f>
        <v/>
      </c>
      <c r="AE274" s="2">
        <f>IF(AD274&lt;&gt;"",MAX($AE$1:AE273)+1,"")</f>
        <v/>
      </c>
      <c r="AF274" s="2">
        <f>IF(A274="coverage",MAX($AF$1:AF273)+1,"")</f>
        <v/>
      </c>
      <c r="AG274" s="2">
        <f>IF(A274="line",IF(COUNTIFS($B$1:B273,B274,$C$1:C273,C274,$A$1:A273,"line")=0,MAX($AG$1:AG273)+1,""),"")</f>
        <v/>
      </c>
    </row>
    <row r="275">
      <c r="W275" s="2">
        <f>IF(A275="line",IF(D275="quote",E275,G275)&amp;"|"&amp;LOWER(TRIM(K275)),"")</f>
        <v/>
      </c>
      <c r="X275" s="2">
        <f>IF(OR(O275="LABOUR",O275="INSTALL"),"LABOUR_ALL",IF(O275="","",O275))</f>
        <v/>
      </c>
      <c r="Y275" s="9">
        <f>IF(AND(A275="line",D275="quote"),SUMIFS($N$2:$N$500,$W$2:$W$500,W275,$D$2:$D$500,"invoice",$A$2:$A$500,"line"),"")</f>
        <v/>
      </c>
      <c r="Z275" s="2">
        <f>IF(AND(A275="line",D275="quote"),COUNTIFS($W$2:$W$500,W275,$D$2:$D$500,"invoice",$A$2:$A$500,"line"),"")</f>
        <v/>
      </c>
      <c r="AA275" s="2">
        <f>IF(AND(A275="line",D275="invoice"),COUNTIFS($W$2:$W$500,W275,$D$2:$D$500,"quote",$A$2:$A$500,"line"),"")</f>
        <v/>
      </c>
      <c r="AB275" s="2">
        <f>IF(A275&lt;&gt;"line","",IF(D275="quote",IF(Z275=0,"quote only",IF(ABS(Y275-N275)&gt;Settings!$B$2,"amount differs","match")),IF(AA275=0,"invoice only","match")))</f>
        <v/>
      </c>
      <c r="AC275" s="2">
        <f>IF(AND(A275="line",AB275&lt;&gt;"match",COUNTIFS($A$2:$A$500,"coverage",$B$2:$B$500,B275,$C$2:$C$500,C275,$D$2:$D$500,"invoice")&gt;0),MAX($AC$1:AC274)+1,"")</f>
        <v/>
      </c>
      <c r="AD275" s="2">
        <f>IF(A275&lt;&gt;"line","",IF(O275="UNMAPPED","no mapping rule",IF(P275="L","low confidence","")))</f>
        <v/>
      </c>
      <c r="AE275" s="2">
        <f>IF(AD275&lt;&gt;"",MAX($AE$1:AE274)+1,"")</f>
        <v/>
      </c>
      <c r="AF275" s="2">
        <f>IF(A275="coverage",MAX($AF$1:AF274)+1,"")</f>
        <v/>
      </c>
      <c r="AG275" s="2">
        <f>IF(A275="line",IF(COUNTIFS($B$1:B274,B275,$C$1:C274,C275,$A$1:A274,"line")=0,MAX($AG$1:AG274)+1,""),"")</f>
        <v/>
      </c>
    </row>
    <row r="276">
      <c r="W276" s="2">
        <f>IF(A276="line",IF(D276="quote",E276,G276)&amp;"|"&amp;LOWER(TRIM(K276)),"")</f>
        <v/>
      </c>
      <c r="X276" s="2">
        <f>IF(OR(O276="LABOUR",O276="INSTALL"),"LABOUR_ALL",IF(O276="","",O276))</f>
        <v/>
      </c>
      <c r="Y276" s="9">
        <f>IF(AND(A276="line",D276="quote"),SUMIFS($N$2:$N$500,$W$2:$W$500,W276,$D$2:$D$500,"invoice",$A$2:$A$500,"line"),"")</f>
        <v/>
      </c>
      <c r="Z276" s="2">
        <f>IF(AND(A276="line",D276="quote"),COUNTIFS($W$2:$W$500,W276,$D$2:$D$500,"invoice",$A$2:$A$500,"line"),"")</f>
        <v/>
      </c>
      <c r="AA276" s="2">
        <f>IF(AND(A276="line",D276="invoice"),COUNTIFS($W$2:$W$500,W276,$D$2:$D$500,"quote",$A$2:$A$500,"line"),"")</f>
        <v/>
      </c>
      <c r="AB276" s="2">
        <f>IF(A276&lt;&gt;"line","",IF(D276="quote",IF(Z276=0,"quote only",IF(ABS(Y276-N276)&gt;Settings!$B$2,"amount differs","match")),IF(AA276=0,"invoice only","match")))</f>
        <v/>
      </c>
      <c r="AC276" s="2">
        <f>IF(AND(A276="line",AB276&lt;&gt;"match",COUNTIFS($A$2:$A$500,"coverage",$B$2:$B$500,B276,$C$2:$C$500,C276,$D$2:$D$500,"invoice")&gt;0),MAX($AC$1:AC275)+1,"")</f>
        <v/>
      </c>
      <c r="AD276" s="2">
        <f>IF(A276&lt;&gt;"line","",IF(O276="UNMAPPED","no mapping rule",IF(P276="L","low confidence","")))</f>
        <v/>
      </c>
      <c r="AE276" s="2">
        <f>IF(AD276&lt;&gt;"",MAX($AE$1:AE275)+1,"")</f>
        <v/>
      </c>
      <c r="AF276" s="2">
        <f>IF(A276="coverage",MAX($AF$1:AF275)+1,"")</f>
        <v/>
      </c>
      <c r="AG276" s="2">
        <f>IF(A276="line",IF(COUNTIFS($B$1:B275,B276,$C$1:C275,C276,$A$1:A275,"line")=0,MAX($AG$1:AG275)+1,""),"")</f>
        <v/>
      </c>
    </row>
    <row r="277">
      <c r="W277" s="2">
        <f>IF(A277="line",IF(D277="quote",E277,G277)&amp;"|"&amp;LOWER(TRIM(K277)),"")</f>
        <v/>
      </c>
      <c r="X277" s="2">
        <f>IF(OR(O277="LABOUR",O277="INSTALL"),"LABOUR_ALL",IF(O277="","",O277))</f>
        <v/>
      </c>
      <c r="Y277" s="9">
        <f>IF(AND(A277="line",D277="quote"),SUMIFS($N$2:$N$500,$W$2:$W$500,W277,$D$2:$D$500,"invoice",$A$2:$A$500,"line"),"")</f>
        <v/>
      </c>
      <c r="Z277" s="2">
        <f>IF(AND(A277="line",D277="quote"),COUNTIFS($W$2:$W$500,W277,$D$2:$D$500,"invoice",$A$2:$A$500,"line"),"")</f>
        <v/>
      </c>
      <c r="AA277" s="2">
        <f>IF(AND(A277="line",D277="invoice"),COUNTIFS($W$2:$W$500,W277,$D$2:$D$500,"quote",$A$2:$A$500,"line"),"")</f>
        <v/>
      </c>
      <c r="AB277" s="2">
        <f>IF(A277&lt;&gt;"line","",IF(D277="quote",IF(Z277=0,"quote only",IF(ABS(Y277-N277)&gt;Settings!$B$2,"amount differs","match")),IF(AA277=0,"invoice only","match")))</f>
        <v/>
      </c>
      <c r="AC277" s="2">
        <f>IF(AND(A277="line",AB277&lt;&gt;"match",COUNTIFS($A$2:$A$500,"coverage",$B$2:$B$500,B277,$C$2:$C$500,C277,$D$2:$D$500,"invoice")&gt;0),MAX($AC$1:AC276)+1,"")</f>
        <v/>
      </c>
      <c r="AD277" s="2">
        <f>IF(A277&lt;&gt;"line","",IF(O277="UNMAPPED","no mapping rule",IF(P277="L","low confidence","")))</f>
        <v/>
      </c>
      <c r="AE277" s="2">
        <f>IF(AD277&lt;&gt;"",MAX($AE$1:AE276)+1,"")</f>
        <v/>
      </c>
      <c r="AF277" s="2">
        <f>IF(A277="coverage",MAX($AF$1:AF276)+1,"")</f>
        <v/>
      </c>
      <c r="AG277" s="2">
        <f>IF(A277="line",IF(COUNTIFS($B$1:B276,B277,$C$1:C276,C277,$A$1:A276,"line")=0,MAX($AG$1:AG276)+1,""),"")</f>
        <v/>
      </c>
    </row>
    <row r="278">
      <c r="W278" s="2">
        <f>IF(A278="line",IF(D278="quote",E278,G278)&amp;"|"&amp;LOWER(TRIM(K278)),"")</f>
        <v/>
      </c>
      <c r="X278" s="2">
        <f>IF(OR(O278="LABOUR",O278="INSTALL"),"LABOUR_ALL",IF(O278="","",O278))</f>
        <v/>
      </c>
      <c r="Y278" s="9">
        <f>IF(AND(A278="line",D278="quote"),SUMIFS($N$2:$N$500,$W$2:$W$500,W278,$D$2:$D$500,"invoice",$A$2:$A$500,"line"),"")</f>
        <v/>
      </c>
      <c r="Z278" s="2">
        <f>IF(AND(A278="line",D278="quote"),COUNTIFS($W$2:$W$500,W278,$D$2:$D$500,"invoice",$A$2:$A$500,"line"),"")</f>
        <v/>
      </c>
      <c r="AA278" s="2">
        <f>IF(AND(A278="line",D278="invoice"),COUNTIFS($W$2:$W$500,W278,$D$2:$D$500,"quote",$A$2:$A$500,"line"),"")</f>
        <v/>
      </c>
      <c r="AB278" s="2">
        <f>IF(A278&lt;&gt;"line","",IF(D278="quote",IF(Z278=0,"quote only",IF(ABS(Y278-N278)&gt;Settings!$B$2,"amount differs","match")),IF(AA278=0,"invoice only","match")))</f>
        <v/>
      </c>
      <c r="AC278" s="2">
        <f>IF(AND(A278="line",AB278&lt;&gt;"match",COUNTIFS($A$2:$A$500,"coverage",$B$2:$B$500,B278,$C$2:$C$500,C278,$D$2:$D$500,"invoice")&gt;0),MAX($AC$1:AC277)+1,"")</f>
        <v/>
      </c>
      <c r="AD278" s="2">
        <f>IF(A278&lt;&gt;"line","",IF(O278="UNMAPPED","no mapping rule",IF(P278="L","low confidence","")))</f>
        <v/>
      </c>
      <c r="AE278" s="2">
        <f>IF(AD278&lt;&gt;"",MAX($AE$1:AE277)+1,"")</f>
        <v/>
      </c>
      <c r="AF278" s="2">
        <f>IF(A278="coverage",MAX($AF$1:AF277)+1,"")</f>
        <v/>
      </c>
      <c r="AG278" s="2">
        <f>IF(A278="line",IF(COUNTIFS($B$1:B277,B278,$C$1:C277,C278,$A$1:A277,"line")=0,MAX($AG$1:AG277)+1,""),"")</f>
        <v/>
      </c>
    </row>
    <row r="279">
      <c r="W279" s="2">
        <f>IF(A279="line",IF(D279="quote",E279,G279)&amp;"|"&amp;LOWER(TRIM(K279)),"")</f>
        <v/>
      </c>
      <c r="X279" s="2">
        <f>IF(OR(O279="LABOUR",O279="INSTALL"),"LABOUR_ALL",IF(O279="","",O279))</f>
        <v/>
      </c>
      <c r="Y279" s="9">
        <f>IF(AND(A279="line",D279="quote"),SUMIFS($N$2:$N$500,$W$2:$W$500,W279,$D$2:$D$500,"invoice",$A$2:$A$500,"line"),"")</f>
        <v/>
      </c>
      <c r="Z279" s="2">
        <f>IF(AND(A279="line",D279="quote"),COUNTIFS($W$2:$W$500,W279,$D$2:$D$500,"invoice",$A$2:$A$500,"line"),"")</f>
        <v/>
      </c>
      <c r="AA279" s="2">
        <f>IF(AND(A279="line",D279="invoice"),COUNTIFS($W$2:$W$500,W279,$D$2:$D$500,"quote",$A$2:$A$500,"line"),"")</f>
        <v/>
      </c>
      <c r="AB279" s="2">
        <f>IF(A279&lt;&gt;"line","",IF(D279="quote",IF(Z279=0,"quote only",IF(ABS(Y279-N279)&gt;Settings!$B$2,"amount differs","match")),IF(AA279=0,"invoice only","match")))</f>
        <v/>
      </c>
      <c r="AC279" s="2">
        <f>IF(AND(A279="line",AB279&lt;&gt;"match",COUNTIFS($A$2:$A$500,"coverage",$B$2:$B$500,B279,$C$2:$C$500,C279,$D$2:$D$500,"invoice")&gt;0),MAX($AC$1:AC278)+1,"")</f>
        <v/>
      </c>
      <c r="AD279" s="2">
        <f>IF(A279&lt;&gt;"line","",IF(O279="UNMAPPED","no mapping rule",IF(P279="L","low confidence","")))</f>
        <v/>
      </c>
      <c r="AE279" s="2">
        <f>IF(AD279&lt;&gt;"",MAX($AE$1:AE278)+1,"")</f>
        <v/>
      </c>
      <c r="AF279" s="2">
        <f>IF(A279="coverage",MAX($AF$1:AF278)+1,"")</f>
        <v/>
      </c>
      <c r="AG279" s="2">
        <f>IF(A279="line",IF(COUNTIFS($B$1:B278,B279,$C$1:C278,C279,$A$1:A278,"line")=0,MAX($AG$1:AG278)+1,""),"")</f>
        <v/>
      </c>
    </row>
    <row r="280">
      <c r="W280" s="2">
        <f>IF(A280="line",IF(D280="quote",E280,G280)&amp;"|"&amp;LOWER(TRIM(K280)),"")</f>
        <v/>
      </c>
      <c r="X280" s="2">
        <f>IF(OR(O280="LABOUR",O280="INSTALL"),"LABOUR_ALL",IF(O280="","",O280))</f>
        <v/>
      </c>
      <c r="Y280" s="9">
        <f>IF(AND(A280="line",D280="quote"),SUMIFS($N$2:$N$500,$W$2:$W$500,W280,$D$2:$D$500,"invoice",$A$2:$A$500,"line"),"")</f>
        <v/>
      </c>
      <c r="Z280" s="2">
        <f>IF(AND(A280="line",D280="quote"),COUNTIFS($W$2:$W$500,W280,$D$2:$D$500,"invoice",$A$2:$A$500,"line"),"")</f>
        <v/>
      </c>
      <c r="AA280" s="2">
        <f>IF(AND(A280="line",D280="invoice"),COUNTIFS($W$2:$W$500,W280,$D$2:$D$500,"quote",$A$2:$A$500,"line"),"")</f>
        <v/>
      </c>
      <c r="AB280" s="2">
        <f>IF(A280&lt;&gt;"line","",IF(D280="quote",IF(Z280=0,"quote only",IF(ABS(Y280-N280)&gt;Settings!$B$2,"amount differs","match")),IF(AA280=0,"invoice only","match")))</f>
        <v/>
      </c>
      <c r="AC280" s="2">
        <f>IF(AND(A280="line",AB280&lt;&gt;"match",COUNTIFS($A$2:$A$500,"coverage",$B$2:$B$500,B280,$C$2:$C$500,C280,$D$2:$D$500,"invoice")&gt;0),MAX($AC$1:AC279)+1,"")</f>
        <v/>
      </c>
      <c r="AD280" s="2">
        <f>IF(A280&lt;&gt;"line","",IF(O280="UNMAPPED","no mapping rule",IF(P280="L","low confidence","")))</f>
        <v/>
      </c>
      <c r="AE280" s="2">
        <f>IF(AD280&lt;&gt;"",MAX($AE$1:AE279)+1,"")</f>
        <v/>
      </c>
      <c r="AF280" s="2">
        <f>IF(A280="coverage",MAX($AF$1:AF279)+1,"")</f>
        <v/>
      </c>
      <c r="AG280" s="2">
        <f>IF(A280="line",IF(COUNTIFS($B$1:B279,B280,$C$1:C279,C280,$A$1:A279,"line")=0,MAX($AG$1:AG279)+1,""),"")</f>
        <v/>
      </c>
    </row>
    <row r="281">
      <c r="W281" s="2">
        <f>IF(A281="line",IF(D281="quote",E281,G281)&amp;"|"&amp;LOWER(TRIM(K281)),"")</f>
        <v/>
      </c>
      <c r="X281" s="2">
        <f>IF(OR(O281="LABOUR",O281="INSTALL"),"LABOUR_ALL",IF(O281="","",O281))</f>
        <v/>
      </c>
      <c r="Y281" s="9">
        <f>IF(AND(A281="line",D281="quote"),SUMIFS($N$2:$N$500,$W$2:$W$500,W281,$D$2:$D$500,"invoice",$A$2:$A$500,"line"),"")</f>
        <v/>
      </c>
      <c r="Z281" s="2">
        <f>IF(AND(A281="line",D281="quote"),COUNTIFS($W$2:$W$500,W281,$D$2:$D$500,"invoice",$A$2:$A$500,"line"),"")</f>
        <v/>
      </c>
      <c r="AA281" s="2">
        <f>IF(AND(A281="line",D281="invoice"),COUNTIFS($W$2:$W$500,W281,$D$2:$D$500,"quote",$A$2:$A$500,"line"),"")</f>
        <v/>
      </c>
      <c r="AB281" s="2">
        <f>IF(A281&lt;&gt;"line","",IF(D281="quote",IF(Z281=0,"quote only",IF(ABS(Y281-N281)&gt;Settings!$B$2,"amount differs","match")),IF(AA281=0,"invoice only","match")))</f>
        <v/>
      </c>
      <c r="AC281" s="2">
        <f>IF(AND(A281="line",AB281&lt;&gt;"match",COUNTIFS($A$2:$A$500,"coverage",$B$2:$B$500,B281,$C$2:$C$500,C281,$D$2:$D$500,"invoice")&gt;0),MAX($AC$1:AC280)+1,"")</f>
        <v/>
      </c>
      <c r="AD281" s="2">
        <f>IF(A281&lt;&gt;"line","",IF(O281="UNMAPPED","no mapping rule",IF(P281="L","low confidence","")))</f>
        <v/>
      </c>
      <c r="AE281" s="2">
        <f>IF(AD281&lt;&gt;"",MAX($AE$1:AE280)+1,"")</f>
        <v/>
      </c>
      <c r="AF281" s="2">
        <f>IF(A281="coverage",MAX($AF$1:AF280)+1,"")</f>
        <v/>
      </c>
      <c r="AG281" s="2">
        <f>IF(A281="line",IF(COUNTIFS($B$1:B280,B281,$C$1:C280,C281,$A$1:A280,"line")=0,MAX($AG$1:AG280)+1,""),"")</f>
        <v/>
      </c>
    </row>
    <row r="282">
      <c r="W282" s="2">
        <f>IF(A282="line",IF(D282="quote",E282,G282)&amp;"|"&amp;LOWER(TRIM(K282)),"")</f>
        <v/>
      </c>
      <c r="X282" s="2">
        <f>IF(OR(O282="LABOUR",O282="INSTALL"),"LABOUR_ALL",IF(O282="","",O282))</f>
        <v/>
      </c>
      <c r="Y282" s="9">
        <f>IF(AND(A282="line",D282="quote"),SUMIFS($N$2:$N$500,$W$2:$W$500,W282,$D$2:$D$500,"invoice",$A$2:$A$500,"line"),"")</f>
        <v/>
      </c>
      <c r="Z282" s="2">
        <f>IF(AND(A282="line",D282="quote"),COUNTIFS($W$2:$W$500,W282,$D$2:$D$500,"invoice",$A$2:$A$500,"line"),"")</f>
        <v/>
      </c>
      <c r="AA282" s="2">
        <f>IF(AND(A282="line",D282="invoice"),COUNTIFS($W$2:$W$500,W282,$D$2:$D$500,"quote",$A$2:$A$500,"line"),"")</f>
        <v/>
      </c>
      <c r="AB282" s="2">
        <f>IF(A282&lt;&gt;"line","",IF(D282="quote",IF(Z282=0,"quote only",IF(ABS(Y282-N282)&gt;Settings!$B$2,"amount differs","match")),IF(AA282=0,"invoice only","match")))</f>
        <v/>
      </c>
      <c r="AC282" s="2">
        <f>IF(AND(A282="line",AB282&lt;&gt;"match",COUNTIFS($A$2:$A$500,"coverage",$B$2:$B$500,B282,$C$2:$C$500,C282,$D$2:$D$500,"invoice")&gt;0),MAX($AC$1:AC281)+1,"")</f>
        <v/>
      </c>
      <c r="AD282" s="2">
        <f>IF(A282&lt;&gt;"line","",IF(O282="UNMAPPED","no mapping rule",IF(P282="L","low confidence","")))</f>
        <v/>
      </c>
      <c r="AE282" s="2">
        <f>IF(AD282&lt;&gt;"",MAX($AE$1:AE281)+1,"")</f>
        <v/>
      </c>
      <c r="AF282" s="2">
        <f>IF(A282="coverage",MAX($AF$1:AF281)+1,"")</f>
        <v/>
      </c>
      <c r="AG282" s="2">
        <f>IF(A282="line",IF(COUNTIFS($B$1:B281,B282,$C$1:C281,C282,$A$1:A281,"line")=0,MAX($AG$1:AG281)+1,""),"")</f>
        <v/>
      </c>
    </row>
    <row r="283">
      <c r="W283" s="2">
        <f>IF(A283="line",IF(D283="quote",E283,G283)&amp;"|"&amp;LOWER(TRIM(K283)),"")</f>
        <v/>
      </c>
      <c r="X283" s="2">
        <f>IF(OR(O283="LABOUR",O283="INSTALL"),"LABOUR_ALL",IF(O283="","",O283))</f>
        <v/>
      </c>
      <c r="Y283" s="9">
        <f>IF(AND(A283="line",D283="quote"),SUMIFS($N$2:$N$500,$W$2:$W$500,W283,$D$2:$D$500,"invoice",$A$2:$A$500,"line"),"")</f>
        <v/>
      </c>
      <c r="Z283" s="2">
        <f>IF(AND(A283="line",D283="quote"),COUNTIFS($W$2:$W$500,W283,$D$2:$D$500,"invoice",$A$2:$A$500,"line"),"")</f>
        <v/>
      </c>
      <c r="AA283" s="2">
        <f>IF(AND(A283="line",D283="invoice"),COUNTIFS($W$2:$W$500,W283,$D$2:$D$500,"quote",$A$2:$A$500,"line"),"")</f>
        <v/>
      </c>
      <c r="AB283" s="2">
        <f>IF(A283&lt;&gt;"line","",IF(D283="quote",IF(Z283=0,"quote only",IF(ABS(Y283-N283)&gt;Settings!$B$2,"amount differs","match")),IF(AA283=0,"invoice only","match")))</f>
        <v/>
      </c>
      <c r="AC283" s="2">
        <f>IF(AND(A283="line",AB283&lt;&gt;"match",COUNTIFS($A$2:$A$500,"coverage",$B$2:$B$500,B283,$C$2:$C$500,C283,$D$2:$D$500,"invoice")&gt;0),MAX($AC$1:AC282)+1,"")</f>
        <v/>
      </c>
      <c r="AD283" s="2">
        <f>IF(A283&lt;&gt;"line","",IF(O283="UNMAPPED","no mapping rule",IF(P283="L","low confidence","")))</f>
        <v/>
      </c>
      <c r="AE283" s="2">
        <f>IF(AD283&lt;&gt;"",MAX($AE$1:AE282)+1,"")</f>
        <v/>
      </c>
      <c r="AF283" s="2">
        <f>IF(A283="coverage",MAX($AF$1:AF282)+1,"")</f>
        <v/>
      </c>
      <c r="AG283" s="2">
        <f>IF(A283="line",IF(COUNTIFS($B$1:B282,B283,$C$1:C282,C283,$A$1:A282,"line")=0,MAX($AG$1:AG282)+1,""),"")</f>
        <v/>
      </c>
    </row>
    <row r="284">
      <c r="W284" s="2">
        <f>IF(A284="line",IF(D284="quote",E284,G284)&amp;"|"&amp;LOWER(TRIM(K284)),"")</f>
        <v/>
      </c>
      <c r="X284" s="2">
        <f>IF(OR(O284="LABOUR",O284="INSTALL"),"LABOUR_ALL",IF(O284="","",O284))</f>
        <v/>
      </c>
      <c r="Y284" s="9">
        <f>IF(AND(A284="line",D284="quote"),SUMIFS($N$2:$N$500,$W$2:$W$500,W284,$D$2:$D$500,"invoice",$A$2:$A$500,"line"),"")</f>
        <v/>
      </c>
      <c r="Z284" s="2">
        <f>IF(AND(A284="line",D284="quote"),COUNTIFS($W$2:$W$500,W284,$D$2:$D$500,"invoice",$A$2:$A$500,"line"),"")</f>
        <v/>
      </c>
      <c r="AA284" s="2">
        <f>IF(AND(A284="line",D284="invoice"),COUNTIFS($W$2:$W$500,W284,$D$2:$D$500,"quote",$A$2:$A$500,"line"),"")</f>
        <v/>
      </c>
      <c r="AB284" s="2">
        <f>IF(A284&lt;&gt;"line","",IF(D284="quote",IF(Z284=0,"quote only",IF(ABS(Y284-N284)&gt;Settings!$B$2,"amount differs","match")),IF(AA284=0,"invoice only","match")))</f>
        <v/>
      </c>
      <c r="AC284" s="2">
        <f>IF(AND(A284="line",AB284&lt;&gt;"match",COUNTIFS($A$2:$A$500,"coverage",$B$2:$B$500,B284,$C$2:$C$500,C284,$D$2:$D$500,"invoice")&gt;0),MAX($AC$1:AC283)+1,"")</f>
        <v/>
      </c>
      <c r="AD284" s="2">
        <f>IF(A284&lt;&gt;"line","",IF(O284="UNMAPPED","no mapping rule",IF(P284="L","low confidence","")))</f>
        <v/>
      </c>
      <c r="AE284" s="2">
        <f>IF(AD284&lt;&gt;"",MAX($AE$1:AE283)+1,"")</f>
        <v/>
      </c>
      <c r="AF284" s="2">
        <f>IF(A284="coverage",MAX($AF$1:AF283)+1,"")</f>
        <v/>
      </c>
      <c r="AG284" s="2">
        <f>IF(A284="line",IF(COUNTIFS($B$1:B283,B284,$C$1:C283,C284,$A$1:A283,"line")=0,MAX($AG$1:AG283)+1,""),"")</f>
        <v/>
      </c>
    </row>
    <row r="285">
      <c r="W285" s="2">
        <f>IF(A285="line",IF(D285="quote",E285,G285)&amp;"|"&amp;LOWER(TRIM(K285)),"")</f>
        <v/>
      </c>
      <c r="X285" s="2">
        <f>IF(OR(O285="LABOUR",O285="INSTALL"),"LABOUR_ALL",IF(O285="","",O285))</f>
        <v/>
      </c>
      <c r="Y285" s="9">
        <f>IF(AND(A285="line",D285="quote"),SUMIFS($N$2:$N$500,$W$2:$W$500,W285,$D$2:$D$500,"invoice",$A$2:$A$500,"line"),"")</f>
        <v/>
      </c>
      <c r="Z285" s="2">
        <f>IF(AND(A285="line",D285="quote"),COUNTIFS($W$2:$W$500,W285,$D$2:$D$500,"invoice",$A$2:$A$500,"line"),"")</f>
        <v/>
      </c>
      <c r="AA285" s="2">
        <f>IF(AND(A285="line",D285="invoice"),COUNTIFS($W$2:$W$500,W285,$D$2:$D$500,"quote",$A$2:$A$500,"line"),"")</f>
        <v/>
      </c>
      <c r="AB285" s="2">
        <f>IF(A285&lt;&gt;"line","",IF(D285="quote",IF(Z285=0,"quote only",IF(ABS(Y285-N285)&gt;Settings!$B$2,"amount differs","match")),IF(AA285=0,"invoice only","match")))</f>
        <v/>
      </c>
      <c r="AC285" s="2">
        <f>IF(AND(A285="line",AB285&lt;&gt;"match",COUNTIFS($A$2:$A$500,"coverage",$B$2:$B$500,B285,$C$2:$C$500,C285,$D$2:$D$500,"invoice")&gt;0),MAX($AC$1:AC284)+1,"")</f>
        <v/>
      </c>
      <c r="AD285" s="2">
        <f>IF(A285&lt;&gt;"line","",IF(O285="UNMAPPED","no mapping rule",IF(P285="L","low confidence","")))</f>
        <v/>
      </c>
      <c r="AE285" s="2">
        <f>IF(AD285&lt;&gt;"",MAX($AE$1:AE284)+1,"")</f>
        <v/>
      </c>
      <c r="AF285" s="2">
        <f>IF(A285="coverage",MAX($AF$1:AF284)+1,"")</f>
        <v/>
      </c>
      <c r="AG285" s="2">
        <f>IF(A285="line",IF(COUNTIFS($B$1:B284,B285,$C$1:C284,C285,$A$1:A284,"line")=0,MAX($AG$1:AG284)+1,""),"")</f>
        <v/>
      </c>
    </row>
    <row r="286">
      <c r="W286" s="2">
        <f>IF(A286="line",IF(D286="quote",E286,G286)&amp;"|"&amp;LOWER(TRIM(K286)),"")</f>
        <v/>
      </c>
      <c r="X286" s="2">
        <f>IF(OR(O286="LABOUR",O286="INSTALL"),"LABOUR_ALL",IF(O286="","",O286))</f>
        <v/>
      </c>
      <c r="Y286" s="9">
        <f>IF(AND(A286="line",D286="quote"),SUMIFS($N$2:$N$500,$W$2:$W$500,W286,$D$2:$D$500,"invoice",$A$2:$A$500,"line"),"")</f>
        <v/>
      </c>
      <c r="Z286" s="2">
        <f>IF(AND(A286="line",D286="quote"),COUNTIFS($W$2:$W$500,W286,$D$2:$D$500,"invoice",$A$2:$A$500,"line"),"")</f>
        <v/>
      </c>
      <c r="AA286" s="2">
        <f>IF(AND(A286="line",D286="invoice"),COUNTIFS($W$2:$W$500,W286,$D$2:$D$500,"quote",$A$2:$A$500,"line"),"")</f>
        <v/>
      </c>
      <c r="AB286" s="2">
        <f>IF(A286&lt;&gt;"line","",IF(D286="quote",IF(Z286=0,"quote only",IF(ABS(Y286-N286)&gt;Settings!$B$2,"amount differs","match")),IF(AA286=0,"invoice only","match")))</f>
        <v/>
      </c>
      <c r="AC286" s="2">
        <f>IF(AND(A286="line",AB286&lt;&gt;"match",COUNTIFS($A$2:$A$500,"coverage",$B$2:$B$500,B286,$C$2:$C$500,C286,$D$2:$D$500,"invoice")&gt;0),MAX($AC$1:AC285)+1,"")</f>
        <v/>
      </c>
      <c r="AD286" s="2">
        <f>IF(A286&lt;&gt;"line","",IF(O286="UNMAPPED","no mapping rule",IF(P286="L","low confidence","")))</f>
        <v/>
      </c>
      <c r="AE286" s="2">
        <f>IF(AD286&lt;&gt;"",MAX($AE$1:AE285)+1,"")</f>
        <v/>
      </c>
      <c r="AF286" s="2">
        <f>IF(A286="coverage",MAX($AF$1:AF285)+1,"")</f>
        <v/>
      </c>
      <c r="AG286" s="2">
        <f>IF(A286="line",IF(COUNTIFS($B$1:B285,B286,$C$1:C285,C286,$A$1:A285,"line")=0,MAX($AG$1:AG285)+1,""),"")</f>
        <v/>
      </c>
    </row>
    <row r="287">
      <c r="W287" s="2">
        <f>IF(A287="line",IF(D287="quote",E287,G287)&amp;"|"&amp;LOWER(TRIM(K287)),"")</f>
        <v/>
      </c>
      <c r="X287" s="2">
        <f>IF(OR(O287="LABOUR",O287="INSTALL"),"LABOUR_ALL",IF(O287="","",O287))</f>
        <v/>
      </c>
      <c r="Y287" s="9">
        <f>IF(AND(A287="line",D287="quote"),SUMIFS($N$2:$N$500,$W$2:$W$500,W287,$D$2:$D$500,"invoice",$A$2:$A$500,"line"),"")</f>
        <v/>
      </c>
      <c r="Z287" s="2">
        <f>IF(AND(A287="line",D287="quote"),COUNTIFS($W$2:$W$500,W287,$D$2:$D$500,"invoice",$A$2:$A$500,"line"),"")</f>
        <v/>
      </c>
      <c r="AA287" s="2">
        <f>IF(AND(A287="line",D287="invoice"),COUNTIFS($W$2:$W$500,W287,$D$2:$D$500,"quote",$A$2:$A$500,"line"),"")</f>
        <v/>
      </c>
      <c r="AB287" s="2">
        <f>IF(A287&lt;&gt;"line","",IF(D287="quote",IF(Z287=0,"quote only",IF(ABS(Y287-N287)&gt;Settings!$B$2,"amount differs","match")),IF(AA287=0,"invoice only","match")))</f>
        <v/>
      </c>
      <c r="AC287" s="2">
        <f>IF(AND(A287="line",AB287&lt;&gt;"match",COUNTIFS($A$2:$A$500,"coverage",$B$2:$B$500,B287,$C$2:$C$500,C287,$D$2:$D$500,"invoice")&gt;0),MAX($AC$1:AC286)+1,"")</f>
        <v/>
      </c>
      <c r="AD287" s="2">
        <f>IF(A287&lt;&gt;"line","",IF(O287="UNMAPPED","no mapping rule",IF(P287="L","low confidence","")))</f>
        <v/>
      </c>
      <c r="AE287" s="2">
        <f>IF(AD287&lt;&gt;"",MAX($AE$1:AE286)+1,"")</f>
        <v/>
      </c>
      <c r="AF287" s="2">
        <f>IF(A287="coverage",MAX($AF$1:AF286)+1,"")</f>
        <v/>
      </c>
      <c r="AG287" s="2">
        <f>IF(A287="line",IF(COUNTIFS($B$1:B286,B287,$C$1:C286,C287,$A$1:A286,"line")=0,MAX($AG$1:AG286)+1,""),"")</f>
        <v/>
      </c>
    </row>
    <row r="288">
      <c r="W288" s="2">
        <f>IF(A288="line",IF(D288="quote",E288,G288)&amp;"|"&amp;LOWER(TRIM(K288)),"")</f>
        <v/>
      </c>
      <c r="X288" s="2">
        <f>IF(OR(O288="LABOUR",O288="INSTALL"),"LABOUR_ALL",IF(O288="","",O288))</f>
        <v/>
      </c>
      <c r="Y288" s="9">
        <f>IF(AND(A288="line",D288="quote"),SUMIFS($N$2:$N$500,$W$2:$W$500,W288,$D$2:$D$500,"invoice",$A$2:$A$500,"line"),"")</f>
        <v/>
      </c>
      <c r="Z288" s="2">
        <f>IF(AND(A288="line",D288="quote"),COUNTIFS($W$2:$W$500,W288,$D$2:$D$500,"invoice",$A$2:$A$500,"line"),"")</f>
        <v/>
      </c>
      <c r="AA288" s="2">
        <f>IF(AND(A288="line",D288="invoice"),COUNTIFS($W$2:$W$500,W288,$D$2:$D$500,"quote",$A$2:$A$500,"line"),"")</f>
        <v/>
      </c>
      <c r="AB288" s="2">
        <f>IF(A288&lt;&gt;"line","",IF(D288="quote",IF(Z288=0,"quote only",IF(ABS(Y288-N288)&gt;Settings!$B$2,"amount differs","match")),IF(AA288=0,"invoice only","match")))</f>
        <v/>
      </c>
      <c r="AC288" s="2">
        <f>IF(AND(A288="line",AB288&lt;&gt;"match",COUNTIFS($A$2:$A$500,"coverage",$B$2:$B$500,B288,$C$2:$C$500,C288,$D$2:$D$500,"invoice")&gt;0),MAX($AC$1:AC287)+1,"")</f>
        <v/>
      </c>
      <c r="AD288" s="2">
        <f>IF(A288&lt;&gt;"line","",IF(O288="UNMAPPED","no mapping rule",IF(P288="L","low confidence","")))</f>
        <v/>
      </c>
      <c r="AE288" s="2">
        <f>IF(AD288&lt;&gt;"",MAX($AE$1:AE287)+1,"")</f>
        <v/>
      </c>
      <c r="AF288" s="2">
        <f>IF(A288="coverage",MAX($AF$1:AF287)+1,"")</f>
        <v/>
      </c>
      <c r="AG288" s="2">
        <f>IF(A288="line",IF(COUNTIFS($B$1:B287,B288,$C$1:C287,C288,$A$1:A287,"line")=0,MAX($AG$1:AG287)+1,""),"")</f>
        <v/>
      </c>
    </row>
    <row r="289">
      <c r="W289" s="2">
        <f>IF(A289="line",IF(D289="quote",E289,G289)&amp;"|"&amp;LOWER(TRIM(K289)),"")</f>
        <v/>
      </c>
      <c r="X289" s="2">
        <f>IF(OR(O289="LABOUR",O289="INSTALL"),"LABOUR_ALL",IF(O289="","",O289))</f>
        <v/>
      </c>
      <c r="Y289" s="9">
        <f>IF(AND(A289="line",D289="quote"),SUMIFS($N$2:$N$500,$W$2:$W$500,W289,$D$2:$D$500,"invoice",$A$2:$A$500,"line"),"")</f>
        <v/>
      </c>
      <c r="Z289" s="2">
        <f>IF(AND(A289="line",D289="quote"),COUNTIFS($W$2:$W$500,W289,$D$2:$D$500,"invoice",$A$2:$A$500,"line"),"")</f>
        <v/>
      </c>
      <c r="AA289" s="2">
        <f>IF(AND(A289="line",D289="invoice"),COUNTIFS($W$2:$W$500,W289,$D$2:$D$500,"quote",$A$2:$A$500,"line"),"")</f>
        <v/>
      </c>
      <c r="AB289" s="2">
        <f>IF(A289&lt;&gt;"line","",IF(D289="quote",IF(Z289=0,"quote only",IF(ABS(Y289-N289)&gt;Settings!$B$2,"amount differs","match")),IF(AA289=0,"invoice only","match")))</f>
        <v/>
      </c>
      <c r="AC289" s="2">
        <f>IF(AND(A289="line",AB289&lt;&gt;"match",COUNTIFS($A$2:$A$500,"coverage",$B$2:$B$500,B289,$C$2:$C$500,C289,$D$2:$D$500,"invoice")&gt;0),MAX($AC$1:AC288)+1,"")</f>
        <v/>
      </c>
      <c r="AD289" s="2">
        <f>IF(A289&lt;&gt;"line","",IF(O289="UNMAPPED","no mapping rule",IF(P289="L","low confidence","")))</f>
        <v/>
      </c>
      <c r="AE289" s="2">
        <f>IF(AD289&lt;&gt;"",MAX($AE$1:AE288)+1,"")</f>
        <v/>
      </c>
      <c r="AF289" s="2">
        <f>IF(A289="coverage",MAX($AF$1:AF288)+1,"")</f>
        <v/>
      </c>
      <c r="AG289" s="2">
        <f>IF(A289="line",IF(COUNTIFS($B$1:B288,B289,$C$1:C288,C289,$A$1:A288,"line")=0,MAX($AG$1:AG288)+1,""),"")</f>
        <v/>
      </c>
    </row>
    <row r="290">
      <c r="W290" s="2">
        <f>IF(A290="line",IF(D290="quote",E290,G290)&amp;"|"&amp;LOWER(TRIM(K290)),"")</f>
        <v/>
      </c>
      <c r="X290" s="2">
        <f>IF(OR(O290="LABOUR",O290="INSTALL"),"LABOUR_ALL",IF(O290="","",O290))</f>
        <v/>
      </c>
      <c r="Y290" s="9">
        <f>IF(AND(A290="line",D290="quote"),SUMIFS($N$2:$N$500,$W$2:$W$500,W290,$D$2:$D$500,"invoice",$A$2:$A$500,"line"),"")</f>
        <v/>
      </c>
      <c r="Z290" s="2">
        <f>IF(AND(A290="line",D290="quote"),COUNTIFS($W$2:$W$500,W290,$D$2:$D$500,"invoice",$A$2:$A$500,"line"),"")</f>
        <v/>
      </c>
      <c r="AA290" s="2">
        <f>IF(AND(A290="line",D290="invoice"),COUNTIFS($W$2:$W$500,W290,$D$2:$D$500,"quote",$A$2:$A$500,"line"),"")</f>
        <v/>
      </c>
      <c r="AB290" s="2">
        <f>IF(A290&lt;&gt;"line","",IF(D290="quote",IF(Z290=0,"quote only",IF(ABS(Y290-N290)&gt;Settings!$B$2,"amount differs","match")),IF(AA290=0,"invoice only","match")))</f>
        <v/>
      </c>
      <c r="AC290" s="2">
        <f>IF(AND(A290="line",AB290&lt;&gt;"match",COUNTIFS($A$2:$A$500,"coverage",$B$2:$B$500,B290,$C$2:$C$500,C290,$D$2:$D$500,"invoice")&gt;0),MAX($AC$1:AC289)+1,"")</f>
        <v/>
      </c>
      <c r="AD290" s="2">
        <f>IF(A290&lt;&gt;"line","",IF(O290="UNMAPPED","no mapping rule",IF(P290="L","low confidence","")))</f>
        <v/>
      </c>
      <c r="AE290" s="2">
        <f>IF(AD290&lt;&gt;"",MAX($AE$1:AE289)+1,"")</f>
        <v/>
      </c>
      <c r="AF290" s="2">
        <f>IF(A290="coverage",MAX($AF$1:AF289)+1,"")</f>
        <v/>
      </c>
      <c r="AG290" s="2">
        <f>IF(A290="line",IF(COUNTIFS($B$1:B289,B290,$C$1:C289,C290,$A$1:A289,"line")=0,MAX($AG$1:AG289)+1,""),"")</f>
        <v/>
      </c>
    </row>
    <row r="291">
      <c r="W291" s="2">
        <f>IF(A291="line",IF(D291="quote",E291,G291)&amp;"|"&amp;LOWER(TRIM(K291)),"")</f>
        <v/>
      </c>
      <c r="X291" s="2">
        <f>IF(OR(O291="LABOUR",O291="INSTALL"),"LABOUR_ALL",IF(O291="","",O291))</f>
        <v/>
      </c>
      <c r="Y291" s="9">
        <f>IF(AND(A291="line",D291="quote"),SUMIFS($N$2:$N$500,$W$2:$W$500,W291,$D$2:$D$500,"invoice",$A$2:$A$500,"line"),"")</f>
        <v/>
      </c>
      <c r="Z291" s="2">
        <f>IF(AND(A291="line",D291="quote"),COUNTIFS($W$2:$W$500,W291,$D$2:$D$500,"invoice",$A$2:$A$500,"line"),"")</f>
        <v/>
      </c>
      <c r="AA291" s="2">
        <f>IF(AND(A291="line",D291="invoice"),COUNTIFS($W$2:$W$500,W291,$D$2:$D$500,"quote",$A$2:$A$500,"line"),"")</f>
        <v/>
      </c>
      <c r="AB291" s="2">
        <f>IF(A291&lt;&gt;"line","",IF(D291="quote",IF(Z291=0,"quote only",IF(ABS(Y291-N291)&gt;Settings!$B$2,"amount differs","match")),IF(AA291=0,"invoice only","match")))</f>
        <v/>
      </c>
      <c r="AC291" s="2">
        <f>IF(AND(A291="line",AB291&lt;&gt;"match",COUNTIFS($A$2:$A$500,"coverage",$B$2:$B$500,B291,$C$2:$C$500,C291,$D$2:$D$500,"invoice")&gt;0),MAX($AC$1:AC290)+1,"")</f>
        <v/>
      </c>
      <c r="AD291" s="2">
        <f>IF(A291&lt;&gt;"line","",IF(O291="UNMAPPED","no mapping rule",IF(P291="L","low confidence","")))</f>
        <v/>
      </c>
      <c r="AE291" s="2">
        <f>IF(AD291&lt;&gt;"",MAX($AE$1:AE290)+1,"")</f>
        <v/>
      </c>
      <c r="AF291" s="2">
        <f>IF(A291="coverage",MAX($AF$1:AF290)+1,"")</f>
        <v/>
      </c>
      <c r="AG291" s="2">
        <f>IF(A291="line",IF(COUNTIFS($B$1:B290,B291,$C$1:C290,C291,$A$1:A290,"line")=0,MAX($AG$1:AG290)+1,""),"")</f>
        <v/>
      </c>
    </row>
    <row r="292">
      <c r="W292" s="2">
        <f>IF(A292="line",IF(D292="quote",E292,G292)&amp;"|"&amp;LOWER(TRIM(K292)),"")</f>
        <v/>
      </c>
      <c r="X292" s="2">
        <f>IF(OR(O292="LABOUR",O292="INSTALL"),"LABOUR_ALL",IF(O292="","",O292))</f>
        <v/>
      </c>
      <c r="Y292" s="9">
        <f>IF(AND(A292="line",D292="quote"),SUMIFS($N$2:$N$500,$W$2:$W$500,W292,$D$2:$D$500,"invoice",$A$2:$A$500,"line"),"")</f>
        <v/>
      </c>
      <c r="Z292" s="2">
        <f>IF(AND(A292="line",D292="quote"),COUNTIFS($W$2:$W$500,W292,$D$2:$D$500,"invoice",$A$2:$A$500,"line"),"")</f>
        <v/>
      </c>
      <c r="AA292" s="2">
        <f>IF(AND(A292="line",D292="invoice"),COUNTIFS($W$2:$W$500,W292,$D$2:$D$500,"quote",$A$2:$A$500,"line"),"")</f>
        <v/>
      </c>
      <c r="AB292" s="2">
        <f>IF(A292&lt;&gt;"line","",IF(D292="quote",IF(Z292=0,"quote only",IF(ABS(Y292-N292)&gt;Settings!$B$2,"amount differs","match")),IF(AA292=0,"invoice only","match")))</f>
        <v/>
      </c>
      <c r="AC292" s="2">
        <f>IF(AND(A292="line",AB292&lt;&gt;"match",COUNTIFS($A$2:$A$500,"coverage",$B$2:$B$500,B292,$C$2:$C$500,C292,$D$2:$D$500,"invoice")&gt;0),MAX($AC$1:AC291)+1,"")</f>
        <v/>
      </c>
      <c r="AD292" s="2">
        <f>IF(A292&lt;&gt;"line","",IF(O292="UNMAPPED","no mapping rule",IF(P292="L","low confidence","")))</f>
        <v/>
      </c>
      <c r="AE292" s="2">
        <f>IF(AD292&lt;&gt;"",MAX($AE$1:AE291)+1,"")</f>
        <v/>
      </c>
      <c r="AF292" s="2">
        <f>IF(A292="coverage",MAX($AF$1:AF291)+1,"")</f>
        <v/>
      </c>
      <c r="AG292" s="2">
        <f>IF(A292="line",IF(COUNTIFS($B$1:B291,B292,$C$1:C291,C292,$A$1:A291,"line")=0,MAX($AG$1:AG291)+1,""),"")</f>
        <v/>
      </c>
    </row>
    <row r="293">
      <c r="W293" s="2">
        <f>IF(A293="line",IF(D293="quote",E293,G293)&amp;"|"&amp;LOWER(TRIM(K293)),"")</f>
        <v/>
      </c>
      <c r="X293" s="2">
        <f>IF(OR(O293="LABOUR",O293="INSTALL"),"LABOUR_ALL",IF(O293="","",O293))</f>
        <v/>
      </c>
      <c r="Y293" s="9">
        <f>IF(AND(A293="line",D293="quote"),SUMIFS($N$2:$N$500,$W$2:$W$500,W293,$D$2:$D$500,"invoice",$A$2:$A$500,"line"),"")</f>
        <v/>
      </c>
      <c r="Z293" s="2">
        <f>IF(AND(A293="line",D293="quote"),COUNTIFS($W$2:$W$500,W293,$D$2:$D$500,"invoice",$A$2:$A$500,"line"),"")</f>
        <v/>
      </c>
      <c r="AA293" s="2">
        <f>IF(AND(A293="line",D293="invoice"),COUNTIFS($W$2:$W$500,W293,$D$2:$D$500,"quote",$A$2:$A$500,"line"),"")</f>
        <v/>
      </c>
      <c r="AB293" s="2">
        <f>IF(A293&lt;&gt;"line","",IF(D293="quote",IF(Z293=0,"quote only",IF(ABS(Y293-N293)&gt;Settings!$B$2,"amount differs","match")),IF(AA293=0,"invoice only","match")))</f>
        <v/>
      </c>
      <c r="AC293" s="2">
        <f>IF(AND(A293="line",AB293&lt;&gt;"match",COUNTIFS($A$2:$A$500,"coverage",$B$2:$B$500,B293,$C$2:$C$500,C293,$D$2:$D$500,"invoice")&gt;0),MAX($AC$1:AC292)+1,"")</f>
        <v/>
      </c>
      <c r="AD293" s="2">
        <f>IF(A293&lt;&gt;"line","",IF(O293="UNMAPPED","no mapping rule",IF(P293="L","low confidence","")))</f>
        <v/>
      </c>
      <c r="AE293" s="2">
        <f>IF(AD293&lt;&gt;"",MAX($AE$1:AE292)+1,"")</f>
        <v/>
      </c>
      <c r="AF293" s="2">
        <f>IF(A293="coverage",MAX($AF$1:AF292)+1,"")</f>
        <v/>
      </c>
      <c r="AG293" s="2">
        <f>IF(A293="line",IF(COUNTIFS($B$1:B292,B293,$C$1:C292,C293,$A$1:A292,"line")=0,MAX($AG$1:AG292)+1,""),"")</f>
        <v/>
      </c>
    </row>
    <row r="294">
      <c r="W294" s="2">
        <f>IF(A294="line",IF(D294="quote",E294,G294)&amp;"|"&amp;LOWER(TRIM(K294)),"")</f>
        <v/>
      </c>
      <c r="X294" s="2">
        <f>IF(OR(O294="LABOUR",O294="INSTALL"),"LABOUR_ALL",IF(O294="","",O294))</f>
        <v/>
      </c>
      <c r="Y294" s="9">
        <f>IF(AND(A294="line",D294="quote"),SUMIFS($N$2:$N$500,$W$2:$W$500,W294,$D$2:$D$500,"invoice",$A$2:$A$500,"line"),"")</f>
        <v/>
      </c>
      <c r="Z294" s="2">
        <f>IF(AND(A294="line",D294="quote"),COUNTIFS($W$2:$W$500,W294,$D$2:$D$500,"invoice",$A$2:$A$500,"line"),"")</f>
        <v/>
      </c>
      <c r="AA294" s="2">
        <f>IF(AND(A294="line",D294="invoice"),COUNTIFS($W$2:$W$500,W294,$D$2:$D$500,"quote",$A$2:$A$500,"line"),"")</f>
        <v/>
      </c>
      <c r="AB294" s="2">
        <f>IF(A294&lt;&gt;"line","",IF(D294="quote",IF(Z294=0,"quote only",IF(ABS(Y294-N294)&gt;Settings!$B$2,"amount differs","match")),IF(AA294=0,"invoice only","match")))</f>
        <v/>
      </c>
      <c r="AC294" s="2">
        <f>IF(AND(A294="line",AB294&lt;&gt;"match",COUNTIFS($A$2:$A$500,"coverage",$B$2:$B$500,B294,$C$2:$C$500,C294,$D$2:$D$500,"invoice")&gt;0),MAX($AC$1:AC293)+1,"")</f>
        <v/>
      </c>
      <c r="AD294" s="2">
        <f>IF(A294&lt;&gt;"line","",IF(O294="UNMAPPED","no mapping rule",IF(P294="L","low confidence","")))</f>
        <v/>
      </c>
      <c r="AE294" s="2">
        <f>IF(AD294&lt;&gt;"",MAX($AE$1:AE293)+1,"")</f>
        <v/>
      </c>
      <c r="AF294" s="2">
        <f>IF(A294="coverage",MAX($AF$1:AF293)+1,"")</f>
        <v/>
      </c>
      <c r="AG294" s="2">
        <f>IF(A294="line",IF(COUNTIFS($B$1:B293,B294,$C$1:C293,C294,$A$1:A293,"line")=0,MAX($AG$1:AG293)+1,""),"")</f>
        <v/>
      </c>
    </row>
    <row r="295">
      <c r="W295" s="2">
        <f>IF(A295="line",IF(D295="quote",E295,G295)&amp;"|"&amp;LOWER(TRIM(K295)),"")</f>
        <v/>
      </c>
      <c r="X295" s="2">
        <f>IF(OR(O295="LABOUR",O295="INSTALL"),"LABOUR_ALL",IF(O295="","",O295))</f>
        <v/>
      </c>
      <c r="Y295" s="9">
        <f>IF(AND(A295="line",D295="quote"),SUMIFS($N$2:$N$500,$W$2:$W$500,W295,$D$2:$D$500,"invoice",$A$2:$A$500,"line"),"")</f>
        <v/>
      </c>
      <c r="Z295" s="2">
        <f>IF(AND(A295="line",D295="quote"),COUNTIFS($W$2:$W$500,W295,$D$2:$D$500,"invoice",$A$2:$A$500,"line"),"")</f>
        <v/>
      </c>
      <c r="AA295" s="2">
        <f>IF(AND(A295="line",D295="invoice"),COUNTIFS($W$2:$W$500,W295,$D$2:$D$500,"quote",$A$2:$A$500,"line"),"")</f>
        <v/>
      </c>
      <c r="AB295" s="2">
        <f>IF(A295&lt;&gt;"line","",IF(D295="quote",IF(Z295=0,"quote only",IF(ABS(Y295-N295)&gt;Settings!$B$2,"amount differs","match")),IF(AA295=0,"invoice only","match")))</f>
        <v/>
      </c>
      <c r="AC295" s="2">
        <f>IF(AND(A295="line",AB295&lt;&gt;"match",COUNTIFS($A$2:$A$500,"coverage",$B$2:$B$500,B295,$C$2:$C$500,C295,$D$2:$D$500,"invoice")&gt;0),MAX($AC$1:AC294)+1,"")</f>
        <v/>
      </c>
      <c r="AD295" s="2">
        <f>IF(A295&lt;&gt;"line","",IF(O295="UNMAPPED","no mapping rule",IF(P295="L","low confidence","")))</f>
        <v/>
      </c>
      <c r="AE295" s="2">
        <f>IF(AD295&lt;&gt;"",MAX($AE$1:AE294)+1,"")</f>
        <v/>
      </c>
      <c r="AF295" s="2">
        <f>IF(A295="coverage",MAX($AF$1:AF294)+1,"")</f>
        <v/>
      </c>
      <c r="AG295" s="2">
        <f>IF(A295="line",IF(COUNTIFS($B$1:B294,B295,$C$1:C294,C295,$A$1:A294,"line")=0,MAX($AG$1:AG294)+1,""),"")</f>
        <v/>
      </c>
    </row>
    <row r="296">
      <c r="W296" s="2">
        <f>IF(A296="line",IF(D296="quote",E296,G296)&amp;"|"&amp;LOWER(TRIM(K296)),"")</f>
        <v/>
      </c>
      <c r="X296" s="2">
        <f>IF(OR(O296="LABOUR",O296="INSTALL"),"LABOUR_ALL",IF(O296="","",O296))</f>
        <v/>
      </c>
      <c r="Y296" s="9">
        <f>IF(AND(A296="line",D296="quote"),SUMIFS($N$2:$N$500,$W$2:$W$500,W296,$D$2:$D$500,"invoice",$A$2:$A$500,"line"),"")</f>
        <v/>
      </c>
      <c r="Z296" s="2">
        <f>IF(AND(A296="line",D296="quote"),COUNTIFS($W$2:$W$500,W296,$D$2:$D$500,"invoice",$A$2:$A$500,"line"),"")</f>
        <v/>
      </c>
      <c r="AA296" s="2">
        <f>IF(AND(A296="line",D296="invoice"),COUNTIFS($W$2:$W$500,W296,$D$2:$D$500,"quote",$A$2:$A$500,"line"),"")</f>
        <v/>
      </c>
      <c r="AB296" s="2">
        <f>IF(A296&lt;&gt;"line","",IF(D296="quote",IF(Z296=0,"quote only",IF(ABS(Y296-N296)&gt;Settings!$B$2,"amount differs","match")),IF(AA296=0,"invoice only","match")))</f>
        <v/>
      </c>
      <c r="AC296" s="2">
        <f>IF(AND(A296="line",AB296&lt;&gt;"match",COUNTIFS($A$2:$A$500,"coverage",$B$2:$B$500,B296,$C$2:$C$500,C296,$D$2:$D$500,"invoice")&gt;0),MAX($AC$1:AC295)+1,"")</f>
        <v/>
      </c>
      <c r="AD296" s="2">
        <f>IF(A296&lt;&gt;"line","",IF(O296="UNMAPPED","no mapping rule",IF(P296="L","low confidence","")))</f>
        <v/>
      </c>
      <c r="AE296" s="2">
        <f>IF(AD296&lt;&gt;"",MAX($AE$1:AE295)+1,"")</f>
        <v/>
      </c>
      <c r="AF296" s="2">
        <f>IF(A296="coverage",MAX($AF$1:AF295)+1,"")</f>
        <v/>
      </c>
      <c r="AG296" s="2">
        <f>IF(A296="line",IF(COUNTIFS($B$1:B295,B296,$C$1:C295,C296,$A$1:A295,"line")=0,MAX($AG$1:AG295)+1,""),"")</f>
        <v/>
      </c>
    </row>
    <row r="297">
      <c r="W297" s="2">
        <f>IF(A297="line",IF(D297="quote",E297,G297)&amp;"|"&amp;LOWER(TRIM(K297)),"")</f>
        <v/>
      </c>
      <c r="X297" s="2">
        <f>IF(OR(O297="LABOUR",O297="INSTALL"),"LABOUR_ALL",IF(O297="","",O297))</f>
        <v/>
      </c>
      <c r="Y297" s="9">
        <f>IF(AND(A297="line",D297="quote"),SUMIFS($N$2:$N$500,$W$2:$W$500,W297,$D$2:$D$500,"invoice",$A$2:$A$500,"line"),"")</f>
        <v/>
      </c>
      <c r="Z297" s="2">
        <f>IF(AND(A297="line",D297="quote"),COUNTIFS($W$2:$W$500,W297,$D$2:$D$500,"invoice",$A$2:$A$500,"line"),"")</f>
        <v/>
      </c>
      <c r="AA297" s="2">
        <f>IF(AND(A297="line",D297="invoice"),COUNTIFS($W$2:$W$500,W297,$D$2:$D$500,"quote",$A$2:$A$500,"line"),"")</f>
        <v/>
      </c>
      <c r="AB297" s="2">
        <f>IF(A297&lt;&gt;"line","",IF(D297="quote",IF(Z297=0,"quote only",IF(ABS(Y297-N297)&gt;Settings!$B$2,"amount differs","match")),IF(AA297=0,"invoice only","match")))</f>
        <v/>
      </c>
      <c r="AC297" s="2">
        <f>IF(AND(A297="line",AB297&lt;&gt;"match",COUNTIFS($A$2:$A$500,"coverage",$B$2:$B$500,B297,$C$2:$C$500,C297,$D$2:$D$500,"invoice")&gt;0),MAX($AC$1:AC296)+1,"")</f>
        <v/>
      </c>
      <c r="AD297" s="2">
        <f>IF(A297&lt;&gt;"line","",IF(O297="UNMAPPED","no mapping rule",IF(P297="L","low confidence","")))</f>
        <v/>
      </c>
      <c r="AE297" s="2">
        <f>IF(AD297&lt;&gt;"",MAX($AE$1:AE296)+1,"")</f>
        <v/>
      </c>
      <c r="AF297" s="2">
        <f>IF(A297="coverage",MAX($AF$1:AF296)+1,"")</f>
        <v/>
      </c>
      <c r="AG297" s="2">
        <f>IF(A297="line",IF(COUNTIFS($B$1:B296,B297,$C$1:C296,C297,$A$1:A296,"line")=0,MAX($AG$1:AG296)+1,""),"")</f>
        <v/>
      </c>
    </row>
    <row r="298">
      <c r="W298" s="2">
        <f>IF(A298="line",IF(D298="quote",E298,G298)&amp;"|"&amp;LOWER(TRIM(K298)),"")</f>
        <v/>
      </c>
      <c r="X298" s="2">
        <f>IF(OR(O298="LABOUR",O298="INSTALL"),"LABOUR_ALL",IF(O298="","",O298))</f>
        <v/>
      </c>
      <c r="Y298" s="9">
        <f>IF(AND(A298="line",D298="quote"),SUMIFS($N$2:$N$500,$W$2:$W$500,W298,$D$2:$D$500,"invoice",$A$2:$A$500,"line"),"")</f>
        <v/>
      </c>
      <c r="Z298" s="2">
        <f>IF(AND(A298="line",D298="quote"),COUNTIFS($W$2:$W$500,W298,$D$2:$D$500,"invoice",$A$2:$A$500,"line"),"")</f>
        <v/>
      </c>
      <c r="AA298" s="2">
        <f>IF(AND(A298="line",D298="invoice"),COUNTIFS($W$2:$W$500,W298,$D$2:$D$500,"quote",$A$2:$A$500,"line"),"")</f>
        <v/>
      </c>
      <c r="AB298" s="2">
        <f>IF(A298&lt;&gt;"line","",IF(D298="quote",IF(Z298=0,"quote only",IF(ABS(Y298-N298)&gt;Settings!$B$2,"amount differs","match")),IF(AA298=0,"invoice only","match")))</f>
        <v/>
      </c>
      <c r="AC298" s="2">
        <f>IF(AND(A298="line",AB298&lt;&gt;"match",COUNTIFS($A$2:$A$500,"coverage",$B$2:$B$500,B298,$C$2:$C$500,C298,$D$2:$D$500,"invoice")&gt;0),MAX($AC$1:AC297)+1,"")</f>
        <v/>
      </c>
      <c r="AD298" s="2">
        <f>IF(A298&lt;&gt;"line","",IF(O298="UNMAPPED","no mapping rule",IF(P298="L","low confidence","")))</f>
        <v/>
      </c>
      <c r="AE298" s="2">
        <f>IF(AD298&lt;&gt;"",MAX($AE$1:AE297)+1,"")</f>
        <v/>
      </c>
      <c r="AF298" s="2">
        <f>IF(A298="coverage",MAX($AF$1:AF297)+1,"")</f>
        <v/>
      </c>
      <c r="AG298" s="2">
        <f>IF(A298="line",IF(COUNTIFS($B$1:B297,B298,$C$1:C297,C298,$A$1:A297,"line")=0,MAX($AG$1:AG297)+1,""),"")</f>
        <v/>
      </c>
    </row>
    <row r="299">
      <c r="W299" s="2">
        <f>IF(A299="line",IF(D299="quote",E299,G299)&amp;"|"&amp;LOWER(TRIM(K299)),"")</f>
        <v/>
      </c>
      <c r="X299" s="2">
        <f>IF(OR(O299="LABOUR",O299="INSTALL"),"LABOUR_ALL",IF(O299="","",O299))</f>
        <v/>
      </c>
      <c r="Y299" s="9">
        <f>IF(AND(A299="line",D299="quote"),SUMIFS($N$2:$N$500,$W$2:$W$500,W299,$D$2:$D$500,"invoice",$A$2:$A$500,"line"),"")</f>
        <v/>
      </c>
      <c r="Z299" s="2">
        <f>IF(AND(A299="line",D299="quote"),COUNTIFS($W$2:$W$500,W299,$D$2:$D$500,"invoice",$A$2:$A$500,"line"),"")</f>
        <v/>
      </c>
      <c r="AA299" s="2">
        <f>IF(AND(A299="line",D299="invoice"),COUNTIFS($W$2:$W$500,W299,$D$2:$D$500,"quote",$A$2:$A$500,"line"),"")</f>
        <v/>
      </c>
      <c r="AB299" s="2">
        <f>IF(A299&lt;&gt;"line","",IF(D299="quote",IF(Z299=0,"quote only",IF(ABS(Y299-N299)&gt;Settings!$B$2,"amount differs","match")),IF(AA299=0,"invoice only","match")))</f>
        <v/>
      </c>
      <c r="AC299" s="2">
        <f>IF(AND(A299="line",AB299&lt;&gt;"match",COUNTIFS($A$2:$A$500,"coverage",$B$2:$B$500,B299,$C$2:$C$500,C299,$D$2:$D$500,"invoice")&gt;0),MAX($AC$1:AC298)+1,"")</f>
        <v/>
      </c>
      <c r="AD299" s="2">
        <f>IF(A299&lt;&gt;"line","",IF(O299="UNMAPPED","no mapping rule",IF(P299="L","low confidence","")))</f>
        <v/>
      </c>
      <c r="AE299" s="2">
        <f>IF(AD299&lt;&gt;"",MAX($AE$1:AE298)+1,"")</f>
        <v/>
      </c>
      <c r="AF299" s="2">
        <f>IF(A299="coverage",MAX($AF$1:AF298)+1,"")</f>
        <v/>
      </c>
      <c r="AG299" s="2">
        <f>IF(A299="line",IF(COUNTIFS($B$1:B298,B299,$C$1:C298,C299,$A$1:A298,"line")=0,MAX($AG$1:AG298)+1,""),"")</f>
        <v/>
      </c>
    </row>
    <row r="300">
      <c r="W300" s="2">
        <f>IF(A300="line",IF(D300="quote",E300,G300)&amp;"|"&amp;LOWER(TRIM(K300)),"")</f>
        <v/>
      </c>
      <c r="X300" s="2">
        <f>IF(OR(O300="LABOUR",O300="INSTALL"),"LABOUR_ALL",IF(O300="","",O300))</f>
        <v/>
      </c>
      <c r="Y300" s="9">
        <f>IF(AND(A300="line",D300="quote"),SUMIFS($N$2:$N$500,$W$2:$W$500,W300,$D$2:$D$500,"invoice",$A$2:$A$500,"line"),"")</f>
        <v/>
      </c>
      <c r="Z300" s="2">
        <f>IF(AND(A300="line",D300="quote"),COUNTIFS($W$2:$W$500,W300,$D$2:$D$500,"invoice",$A$2:$A$500,"line"),"")</f>
        <v/>
      </c>
      <c r="AA300" s="2">
        <f>IF(AND(A300="line",D300="invoice"),COUNTIFS($W$2:$W$500,W300,$D$2:$D$500,"quote",$A$2:$A$500,"line"),"")</f>
        <v/>
      </c>
      <c r="AB300" s="2">
        <f>IF(A300&lt;&gt;"line","",IF(D300="quote",IF(Z300=0,"quote only",IF(ABS(Y300-N300)&gt;Settings!$B$2,"amount differs","match")),IF(AA300=0,"invoice only","match")))</f>
        <v/>
      </c>
      <c r="AC300" s="2">
        <f>IF(AND(A300="line",AB300&lt;&gt;"match",COUNTIFS($A$2:$A$500,"coverage",$B$2:$B$500,B300,$C$2:$C$500,C300,$D$2:$D$500,"invoice")&gt;0),MAX($AC$1:AC299)+1,"")</f>
        <v/>
      </c>
      <c r="AD300" s="2">
        <f>IF(A300&lt;&gt;"line","",IF(O300="UNMAPPED","no mapping rule",IF(P300="L","low confidence","")))</f>
        <v/>
      </c>
      <c r="AE300" s="2">
        <f>IF(AD300&lt;&gt;"",MAX($AE$1:AE299)+1,"")</f>
        <v/>
      </c>
      <c r="AF300" s="2">
        <f>IF(A300="coverage",MAX($AF$1:AF299)+1,"")</f>
        <v/>
      </c>
      <c r="AG300" s="2">
        <f>IF(A300="line",IF(COUNTIFS($B$1:B299,B300,$C$1:C299,C300,$A$1:A299,"line")=0,MAX($AG$1:AG299)+1,""),"")</f>
        <v/>
      </c>
    </row>
    <row r="301">
      <c r="W301" s="2">
        <f>IF(A301="line",IF(D301="quote",E301,G301)&amp;"|"&amp;LOWER(TRIM(K301)),"")</f>
        <v/>
      </c>
      <c r="X301" s="2">
        <f>IF(OR(O301="LABOUR",O301="INSTALL"),"LABOUR_ALL",IF(O301="","",O301))</f>
        <v/>
      </c>
      <c r="Y301" s="9">
        <f>IF(AND(A301="line",D301="quote"),SUMIFS($N$2:$N$500,$W$2:$W$500,W301,$D$2:$D$500,"invoice",$A$2:$A$500,"line"),"")</f>
        <v/>
      </c>
      <c r="Z301" s="2">
        <f>IF(AND(A301="line",D301="quote"),COUNTIFS($W$2:$W$500,W301,$D$2:$D$500,"invoice",$A$2:$A$500,"line"),"")</f>
        <v/>
      </c>
      <c r="AA301" s="2">
        <f>IF(AND(A301="line",D301="invoice"),COUNTIFS($W$2:$W$500,W301,$D$2:$D$500,"quote",$A$2:$A$500,"line"),"")</f>
        <v/>
      </c>
      <c r="AB301" s="2">
        <f>IF(A301&lt;&gt;"line","",IF(D301="quote",IF(Z301=0,"quote only",IF(ABS(Y301-N301)&gt;Settings!$B$2,"amount differs","match")),IF(AA301=0,"invoice only","match")))</f>
        <v/>
      </c>
      <c r="AC301" s="2">
        <f>IF(AND(A301="line",AB301&lt;&gt;"match",COUNTIFS($A$2:$A$500,"coverage",$B$2:$B$500,B301,$C$2:$C$500,C301,$D$2:$D$500,"invoice")&gt;0),MAX($AC$1:AC300)+1,"")</f>
        <v/>
      </c>
      <c r="AD301" s="2">
        <f>IF(A301&lt;&gt;"line","",IF(O301="UNMAPPED","no mapping rule",IF(P301="L","low confidence","")))</f>
        <v/>
      </c>
      <c r="AE301" s="2">
        <f>IF(AD301&lt;&gt;"",MAX($AE$1:AE300)+1,"")</f>
        <v/>
      </c>
      <c r="AF301" s="2">
        <f>IF(A301="coverage",MAX($AF$1:AF300)+1,"")</f>
        <v/>
      </c>
      <c r="AG301" s="2">
        <f>IF(A301="line",IF(COUNTIFS($B$1:B300,B301,$C$1:C300,C301,$A$1:A300,"line")=0,MAX($AG$1:AG300)+1,""),"")</f>
        <v/>
      </c>
    </row>
    <row r="302">
      <c r="W302" s="2">
        <f>IF(A302="line",IF(D302="quote",E302,G302)&amp;"|"&amp;LOWER(TRIM(K302)),"")</f>
        <v/>
      </c>
      <c r="X302" s="2">
        <f>IF(OR(O302="LABOUR",O302="INSTALL"),"LABOUR_ALL",IF(O302="","",O302))</f>
        <v/>
      </c>
      <c r="Y302" s="9">
        <f>IF(AND(A302="line",D302="quote"),SUMIFS($N$2:$N$500,$W$2:$W$500,W302,$D$2:$D$500,"invoice",$A$2:$A$500,"line"),"")</f>
        <v/>
      </c>
      <c r="Z302" s="2">
        <f>IF(AND(A302="line",D302="quote"),COUNTIFS($W$2:$W$500,W302,$D$2:$D$500,"invoice",$A$2:$A$500,"line"),"")</f>
        <v/>
      </c>
      <c r="AA302" s="2">
        <f>IF(AND(A302="line",D302="invoice"),COUNTIFS($W$2:$W$500,W302,$D$2:$D$500,"quote",$A$2:$A$500,"line"),"")</f>
        <v/>
      </c>
      <c r="AB302" s="2">
        <f>IF(A302&lt;&gt;"line","",IF(D302="quote",IF(Z302=0,"quote only",IF(ABS(Y302-N302)&gt;Settings!$B$2,"amount differs","match")),IF(AA302=0,"invoice only","match")))</f>
        <v/>
      </c>
      <c r="AC302" s="2">
        <f>IF(AND(A302="line",AB302&lt;&gt;"match",COUNTIFS($A$2:$A$500,"coverage",$B$2:$B$500,B302,$C$2:$C$500,C302,$D$2:$D$500,"invoice")&gt;0),MAX($AC$1:AC301)+1,"")</f>
        <v/>
      </c>
      <c r="AD302" s="2">
        <f>IF(A302&lt;&gt;"line","",IF(O302="UNMAPPED","no mapping rule",IF(P302="L","low confidence","")))</f>
        <v/>
      </c>
      <c r="AE302" s="2">
        <f>IF(AD302&lt;&gt;"",MAX($AE$1:AE301)+1,"")</f>
        <v/>
      </c>
      <c r="AF302" s="2">
        <f>IF(A302="coverage",MAX($AF$1:AF301)+1,"")</f>
        <v/>
      </c>
      <c r="AG302" s="2">
        <f>IF(A302="line",IF(COUNTIFS($B$1:B301,B302,$C$1:C301,C302,$A$1:A301,"line")=0,MAX($AG$1:AG301)+1,""),"")</f>
        <v/>
      </c>
    </row>
    <row r="303">
      <c r="W303" s="2">
        <f>IF(A303="line",IF(D303="quote",E303,G303)&amp;"|"&amp;LOWER(TRIM(K303)),"")</f>
        <v/>
      </c>
      <c r="X303" s="2">
        <f>IF(OR(O303="LABOUR",O303="INSTALL"),"LABOUR_ALL",IF(O303="","",O303))</f>
        <v/>
      </c>
      <c r="Y303" s="9">
        <f>IF(AND(A303="line",D303="quote"),SUMIFS($N$2:$N$500,$W$2:$W$500,W303,$D$2:$D$500,"invoice",$A$2:$A$500,"line"),"")</f>
        <v/>
      </c>
      <c r="Z303" s="2">
        <f>IF(AND(A303="line",D303="quote"),COUNTIFS($W$2:$W$500,W303,$D$2:$D$500,"invoice",$A$2:$A$500,"line"),"")</f>
        <v/>
      </c>
      <c r="AA303" s="2">
        <f>IF(AND(A303="line",D303="invoice"),COUNTIFS($W$2:$W$500,W303,$D$2:$D$500,"quote",$A$2:$A$500,"line"),"")</f>
        <v/>
      </c>
      <c r="AB303" s="2">
        <f>IF(A303&lt;&gt;"line","",IF(D303="quote",IF(Z303=0,"quote only",IF(ABS(Y303-N303)&gt;Settings!$B$2,"amount differs","match")),IF(AA303=0,"invoice only","match")))</f>
        <v/>
      </c>
      <c r="AC303" s="2">
        <f>IF(AND(A303="line",AB303&lt;&gt;"match",COUNTIFS($A$2:$A$500,"coverage",$B$2:$B$500,B303,$C$2:$C$500,C303,$D$2:$D$500,"invoice")&gt;0),MAX($AC$1:AC302)+1,"")</f>
        <v/>
      </c>
      <c r="AD303" s="2">
        <f>IF(A303&lt;&gt;"line","",IF(O303="UNMAPPED","no mapping rule",IF(P303="L","low confidence","")))</f>
        <v/>
      </c>
      <c r="AE303" s="2">
        <f>IF(AD303&lt;&gt;"",MAX($AE$1:AE302)+1,"")</f>
        <v/>
      </c>
      <c r="AF303" s="2">
        <f>IF(A303="coverage",MAX($AF$1:AF302)+1,"")</f>
        <v/>
      </c>
      <c r="AG303" s="2">
        <f>IF(A303="line",IF(COUNTIFS($B$1:B302,B303,$C$1:C302,C303,$A$1:A302,"line")=0,MAX($AG$1:AG302)+1,""),"")</f>
        <v/>
      </c>
    </row>
    <row r="304">
      <c r="W304" s="2">
        <f>IF(A304="line",IF(D304="quote",E304,G304)&amp;"|"&amp;LOWER(TRIM(K304)),"")</f>
        <v/>
      </c>
      <c r="X304" s="2">
        <f>IF(OR(O304="LABOUR",O304="INSTALL"),"LABOUR_ALL",IF(O304="","",O304))</f>
        <v/>
      </c>
      <c r="Y304" s="9">
        <f>IF(AND(A304="line",D304="quote"),SUMIFS($N$2:$N$500,$W$2:$W$500,W304,$D$2:$D$500,"invoice",$A$2:$A$500,"line"),"")</f>
        <v/>
      </c>
      <c r="Z304" s="2">
        <f>IF(AND(A304="line",D304="quote"),COUNTIFS($W$2:$W$500,W304,$D$2:$D$500,"invoice",$A$2:$A$500,"line"),"")</f>
        <v/>
      </c>
      <c r="AA304" s="2">
        <f>IF(AND(A304="line",D304="invoice"),COUNTIFS($W$2:$W$500,W304,$D$2:$D$500,"quote",$A$2:$A$500,"line"),"")</f>
        <v/>
      </c>
      <c r="AB304" s="2">
        <f>IF(A304&lt;&gt;"line","",IF(D304="quote",IF(Z304=0,"quote only",IF(ABS(Y304-N304)&gt;Settings!$B$2,"amount differs","match")),IF(AA304=0,"invoice only","match")))</f>
        <v/>
      </c>
      <c r="AC304" s="2">
        <f>IF(AND(A304="line",AB304&lt;&gt;"match",COUNTIFS($A$2:$A$500,"coverage",$B$2:$B$500,B304,$C$2:$C$500,C304,$D$2:$D$500,"invoice")&gt;0),MAX($AC$1:AC303)+1,"")</f>
        <v/>
      </c>
      <c r="AD304" s="2">
        <f>IF(A304&lt;&gt;"line","",IF(O304="UNMAPPED","no mapping rule",IF(P304="L","low confidence","")))</f>
        <v/>
      </c>
      <c r="AE304" s="2">
        <f>IF(AD304&lt;&gt;"",MAX($AE$1:AE303)+1,"")</f>
        <v/>
      </c>
      <c r="AF304" s="2">
        <f>IF(A304="coverage",MAX($AF$1:AF303)+1,"")</f>
        <v/>
      </c>
      <c r="AG304" s="2">
        <f>IF(A304="line",IF(COUNTIFS($B$1:B303,B304,$C$1:C303,C304,$A$1:A303,"line")=0,MAX($AG$1:AG303)+1,""),"")</f>
        <v/>
      </c>
    </row>
    <row r="305">
      <c r="W305" s="2">
        <f>IF(A305="line",IF(D305="quote",E305,G305)&amp;"|"&amp;LOWER(TRIM(K305)),"")</f>
        <v/>
      </c>
      <c r="X305" s="2">
        <f>IF(OR(O305="LABOUR",O305="INSTALL"),"LABOUR_ALL",IF(O305="","",O305))</f>
        <v/>
      </c>
      <c r="Y305" s="9">
        <f>IF(AND(A305="line",D305="quote"),SUMIFS($N$2:$N$500,$W$2:$W$500,W305,$D$2:$D$500,"invoice",$A$2:$A$500,"line"),"")</f>
        <v/>
      </c>
      <c r="Z305" s="2">
        <f>IF(AND(A305="line",D305="quote"),COUNTIFS($W$2:$W$500,W305,$D$2:$D$500,"invoice",$A$2:$A$500,"line"),"")</f>
        <v/>
      </c>
      <c r="AA305" s="2">
        <f>IF(AND(A305="line",D305="invoice"),COUNTIFS($W$2:$W$500,W305,$D$2:$D$500,"quote",$A$2:$A$500,"line"),"")</f>
        <v/>
      </c>
      <c r="AB305" s="2">
        <f>IF(A305&lt;&gt;"line","",IF(D305="quote",IF(Z305=0,"quote only",IF(ABS(Y305-N305)&gt;Settings!$B$2,"amount differs","match")),IF(AA305=0,"invoice only","match")))</f>
        <v/>
      </c>
      <c r="AC305" s="2">
        <f>IF(AND(A305="line",AB305&lt;&gt;"match",COUNTIFS($A$2:$A$500,"coverage",$B$2:$B$500,B305,$C$2:$C$500,C305,$D$2:$D$500,"invoice")&gt;0),MAX($AC$1:AC304)+1,"")</f>
        <v/>
      </c>
      <c r="AD305" s="2">
        <f>IF(A305&lt;&gt;"line","",IF(O305="UNMAPPED","no mapping rule",IF(P305="L","low confidence","")))</f>
        <v/>
      </c>
      <c r="AE305" s="2">
        <f>IF(AD305&lt;&gt;"",MAX($AE$1:AE304)+1,"")</f>
        <v/>
      </c>
      <c r="AF305" s="2">
        <f>IF(A305="coverage",MAX($AF$1:AF304)+1,"")</f>
        <v/>
      </c>
      <c r="AG305" s="2">
        <f>IF(A305="line",IF(COUNTIFS($B$1:B304,B305,$C$1:C304,C305,$A$1:A304,"line")=0,MAX($AG$1:AG304)+1,""),"")</f>
        <v/>
      </c>
    </row>
    <row r="306">
      <c r="W306" s="2">
        <f>IF(A306="line",IF(D306="quote",E306,G306)&amp;"|"&amp;LOWER(TRIM(K306)),"")</f>
        <v/>
      </c>
      <c r="X306" s="2">
        <f>IF(OR(O306="LABOUR",O306="INSTALL"),"LABOUR_ALL",IF(O306="","",O306))</f>
        <v/>
      </c>
      <c r="Y306" s="9">
        <f>IF(AND(A306="line",D306="quote"),SUMIFS($N$2:$N$500,$W$2:$W$500,W306,$D$2:$D$500,"invoice",$A$2:$A$500,"line"),"")</f>
        <v/>
      </c>
      <c r="Z306" s="2">
        <f>IF(AND(A306="line",D306="quote"),COUNTIFS($W$2:$W$500,W306,$D$2:$D$500,"invoice",$A$2:$A$500,"line"),"")</f>
        <v/>
      </c>
      <c r="AA306" s="2">
        <f>IF(AND(A306="line",D306="invoice"),COUNTIFS($W$2:$W$500,W306,$D$2:$D$500,"quote",$A$2:$A$500,"line"),"")</f>
        <v/>
      </c>
      <c r="AB306" s="2">
        <f>IF(A306&lt;&gt;"line","",IF(D306="quote",IF(Z306=0,"quote only",IF(ABS(Y306-N306)&gt;Settings!$B$2,"amount differs","match")),IF(AA306=0,"invoice only","match")))</f>
        <v/>
      </c>
      <c r="AC306" s="2">
        <f>IF(AND(A306="line",AB306&lt;&gt;"match",COUNTIFS($A$2:$A$500,"coverage",$B$2:$B$500,B306,$C$2:$C$500,C306,$D$2:$D$500,"invoice")&gt;0),MAX($AC$1:AC305)+1,"")</f>
        <v/>
      </c>
      <c r="AD306" s="2">
        <f>IF(A306&lt;&gt;"line","",IF(O306="UNMAPPED","no mapping rule",IF(P306="L","low confidence","")))</f>
        <v/>
      </c>
      <c r="AE306" s="2">
        <f>IF(AD306&lt;&gt;"",MAX($AE$1:AE305)+1,"")</f>
        <v/>
      </c>
      <c r="AF306" s="2">
        <f>IF(A306="coverage",MAX($AF$1:AF305)+1,"")</f>
        <v/>
      </c>
      <c r="AG306" s="2">
        <f>IF(A306="line",IF(COUNTIFS($B$1:B305,B306,$C$1:C305,C306,$A$1:A305,"line")=0,MAX($AG$1:AG305)+1,""),"")</f>
        <v/>
      </c>
    </row>
    <row r="307">
      <c r="W307" s="2">
        <f>IF(A307="line",IF(D307="quote",E307,G307)&amp;"|"&amp;LOWER(TRIM(K307)),"")</f>
        <v/>
      </c>
      <c r="X307" s="2">
        <f>IF(OR(O307="LABOUR",O307="INSTALL"),"LABOUR_ALL",IF(O307="","",O307))</f>
        <v/>
      </c>
      <c r="Y307" s="9">
        <f>IF(AND(A307="line",D307="quote"),SUMIFS($N$2:$N$500,$W$2:$W$500,W307,$D$2:$D$500,"invoice",$A$2:$A$500,"line"),"")</f>
        <v/>
      </c>
      <c r="Z307" s="2">
        <f>IF(AND(A307="line",D307="quote"),COUNTIFS($W$2:$W$500,W307,$D$2:$D$500,"invoice",$A$2:$A$500,"line"),"")</f>
        <v/>
      </c>
      <c r="AA307" s="2">
        <f>IF(AND(A307="line",D307="invoice"),COUNTIFS($W$2:$W$500,W307,$D$2:$D$500,"quote",$A$2:$A$500,"line"),"")</f>
        <v/>
      </c>
      <c r="AB307" s="2">
        <f>IF(A307&lt;&gt;"line","",IF(D307="quote",IF(Z307=0,"quote only",IF(ABS(Y307-N307)&gt;Settings!$B$2,"amount differs","match")),IF(AA307=0,"invoice only","match")))</f>
        <v/>
      </c>
      <c r="AC307" s="2">
        <f>IF(AND(A307="line",AB307&lt;&gt;"match",COUNTIFS($A$2:$A$500,"coverage",$B$2:$B$500,B307,$C$2:$C$500,C307,$D$2:$D$500,"invoice")&gt;0),MAX($AC$1:AC306)+1,"")</f>
        <v/>
      </c>
      <c r="AD307" s="2">
        <f>IF(A307&lt;&gt;"line","",IF(O307="UNMAPPED","no mapping rule",IF(P307="L","low confidence","")))</f>
        <v/>
      </c>
      <c r="AE307" s="2">
        <f>IF(AD307&lt;&gt;"",MAX($AE$1:AE306)+1,"")</f>
        <v/>
      </c>
      <c r="AF307" s="2">
        <f>IF(A307="coverage",MAX($AF$1:AF306)+1,"")</f>
        <v/>
      </c>
      <c r="AG307" s="2">
        <f>IF(A307="line",IF(COUNTIFS($B$1:B306,B307,$C$1:C306,C307,$A$1:A306,"line")=0,MAX($AG$1:AG306)+1,""),"")</f>
        <v/>
      </c>
    </row>
    <row r="308">
      <c r="W308" s="2">
        <f>IF(A308="line",IF(D308="quote",E308,G308)&amp;"|"&amp;LOWER(TRIM(K308)),"")</f>
        <v/>
      </c>
      <c r="X308" s="2">
        <f>IF(OR(O308="LABOUR",O308="INSTALL"),"LABOUR_ALL",IF(O308="","",O308))</f>
        <v/>
      </c>
      <c r="Y308" s="9">
        <f>IF(AND(A308="line",D308="quote"),SUMIFS($N$2:$N$500,$W$2:$W$500,W308,$D$2:$D$500,"invoice",$A$2:$A$500,"line"),"")</f>
        <v/>
      </c>
      <c r="Z308" s="2">
        <f>IF(AND(A308="line",D308="quote"),COUNTIFS($W$2:$W$500,W308,$D$2:$D$500,"invoice",$A$2:$A$500,"line"),"")</f>
        <v/>
      </c>
      <c r="AA308" s="2">
        <f>IF(AND(A308="line",D308="invoice"),COUNTIFS($W$2:$W$500,W308,$D$2:$D$500,"quote",$A$2:$A$500,"line"),"")</f>
        <v/>
      </c>
      <c r="AB308" s="2">
        <f>IF(A308&lt;&gt;"line","",IF(D308="quote",IF(Z308=0,"quote only",IF(ABS(Y308-N308)&gt;Settings!$B$2,"amount differs","match")),IF(AA308=0,"invoice only","match")))</f>
        <v/>
      </c>
      <c r="AC308" s="2">
        <f>IF(AND(A308="line",AB308&lt;&gt;"match",COUNTIFS($A$2:$A$500,"coverage",$B$2:$B$500,B308,$C$2:$C$500,C308,$D$2:$D$500,"invoice")&gt;0),MAX($AC$1:AC307)+1,"")</f>
        <v/>
      </c>
      <c r="AD308" s="2">
        <f>IF(A308&lt;&gt;"line","",IF(O308="UNMAPPED","no mapping rule",IF(P308="L","low confidence","")))</f>
        <v/>
      </c>
      <c r="AE308" s="2">
        <f>IF(AD308&lt;&gt;"",MAX($AE$1:AE307)+1,"")</f>
        <v/>
      </c>
      <c r="AF308" s="2">
        <f>IF(A308="coverage",MAX($AF$1:AF307)+1,"")</f>
        <v/>
      </c>
      <c r="AG308" s="2">
        <f>IF(A308="line",IF(COUNTIFS($B$1:B307,B308,$C$1:C307,C308,$A$1:A307,"line")=0,MAX($AG$1:AG307)+1,""),"")</f>
        <v/>
      </c>
    </row>
    <row r="309">
      <c r="W309" s="2">
        <f>IF(A309="line",IF(D309="quote",E309,G309)&amp;"|"&amp;LOWER(TRIM(K309)),"")</f>
        <v/>
      </c>
      <c r="X309" s="2">
        <f>IF(OR(O309="LABOUR",O309="INSTALL"),"LABOUR_ALL",IF(O309="","",O309))</f>
        <v/>
      </c>
      <c r="Y309" s="9">
        <f>IF(AND(A309="line",D309="quote"),SUMIFS($N$2:$N$500,$W$2:$W$500,W309,$D$2:$D$500,"invoice",$A$2:$A$500,"line"),"")</f>
        <v/>
      </c>
      <c r="Z309" s="2">
        <f>IF(AND(A309="line",D309="quote"),COUNTIFS($W$2:$W$500,W309,$D$2:$D$500,"invoice",$A$2:$A$500,"line"),"")</f>
        <v/>
      </c>
      <c r="AA309" s="2">
        <f>IF(AND(A309="line",D309="invoice"),COUNTIFS($W$2:$W$500,W309,$D$2:$D$500,"quote",$A$2:$A$500,"line"),"")</f>
        <v/>
      </c>
      <c r="AB309" s="2">
        <f>IF(A309&lt;&gt;"line","",IF(D309="quote",IF(Z309=0,"quote only",IF(ABS(Y309-N309)&gt;Settings!$B$2,"amount differs","match")),IF(AA309=0,"invoice only","match")))</f>
        <v/>
      </c>
      <c r="AC309" s="2">
        <f>IF(AND(A309="line",AB309&lt;&gt;"match",COUNTIFS($A$2:$A$500,"coverage",$B$2:$B$500,B309,$C$2:$C$500,C309,$D$2:$D$500,"invoice")&gt;0),MAX($AC$1:AC308)+1,"")</f>
        <v/>
      </c>
      <c r="AD309" s="2">
        <f>IF(A309&lt;&gt;"line","",IF(O309="UNMAPPED","no mapping rule",IF(P309="L","low confidence","")))</f>
        <v/>
      </c>
      <c r="AE309" s="2">
        <f>IF(AD309&lt;&gt;"",MAX($AE$1:AE308)+1,"")</f>
        <v/>
      </c>
      <c r="AF309" s="2">
        <f>IF(A309="coverage",MAX($AF$1:AF308)+1,"")</f>
        <v/>
      </c>
      <c r="AG309" s="2">
        <f>IF(A309="line",IF(COUNTIFS($B$1:B308,B309,$C$1:C308,C309,$A$1:A308,"line")=0,MAX($AG$1:AG308)+1,""),"")</f>
        <v/>
      </c>
    </row>
    <row r="310">
      <c r="W310" s="2">
        <f>IF(A310="line",IF(D310="quote",E310,G310)&amp;"|"&amp;LOWER(TRIM(K310)),"")</f>
        <v/>
      </c>
      <c r="X310" s="2">
        <f>IF(OR(O310="LABOUR",O310="INSTALL"),"LABOUR_ALL",IF(O310="","",O310))</f>
        <v/>
      </c>
      <c r="Y310" s="9">
        <f>IF(AND(A310="line",D310="quote"),SUMIFS($N$2:$N$500,$W$2:$W$500,W310,$D$2:$D$500,"invoice",$A$2:$A$500,"line"),"")</f>
        <v/>
      </c>
      <c r="Z310" s="2">
        <f>IF(AND(A310="line",D310="quote"),COUNTIFS($W$2:$W$500,W310,$D$2:$D$500,"invoice",$A$2:$A$500,"line"),"")</f>
        <v/>
      </c>
      <c r="AA310" s="2">
        <f>IF(AND(A310="line",D310="invoice"),COUNTIFS($W$2:$W$500,W310,$D$2:$D$500,"quote",$A$2:$A$500,"line"),"")</f>
        <v/>
      </c>
      <c r="AB310" s="2">
        <f>IF(A310&lt;&gt;"line","",IF(D310="quote",IF(Z310=0,"quote only",IF(ABS(Y310-N310)&gt;Settings!$B$2,"amount differs","match")),IF(AA310=0,"invoice only","match")))</f>
        <v/>
      </c>
      <c r="AC310" s="2">
        <f>IF(AND(A310="line",AB310&lt;&gt;"match",COUNTIFS($A$2:$A$500,"coverage",$B$2:$B$500,B310,$C$2:$C$500,C310,$D$2:$D$500,"invoice")&gt;0),MAX($AC$1:AC309)+1,"")</f>
        <v/>
      </c>
      <c r="AD310" s="2">
        <f>IF(A310&lt;&gt;"line","",IF(O310="UNMAPPED","no mapping rule",IF(P310="L","low confidence","")))</f>
        <v/>
      </c>
      <c r="AE310" s="2">
        <f>IF(AD310&lt;&gt;"",MAX($AE$1:AE309)+1,"")</f>
        <v/>
      </c>
      <c r="AF310" s="2">
        <f>IF(A310="coverage",MAX($AF$1:AF309)+1,"")</f>
        <v/>
      </c>
      <c r="AG310" s="2">
        <f>IF(A310="line",IF(COUNTIFS($B$1:B309,B310,$C$1:C309,C310,$A$1:A309,"line")=0,MAX($AG$1:AG309)+1,""),"")</f>
        <v/>
      </c>
    </row>
    <row r="311">
      <c r="W311" s="2">
        <f>IF(A311="line",IF(D311="quote",E311,G311)&amp;"|"&amp;LOWER(TRIM(K311)),"")</f>
        <v/>
      </c>
      <c r="X311" s="2">
        <f>IF(OR(O311="LABOUR",O311="INSTALL"),"LABOUR_ALL",IF(O311="","",O311))</f>
        <v/>
      </c>
      <c r="Y311" s="9">
        <f>IF(AND(A311="line",D311="quote"),SUMIFS($N$2:$N$500,$W$2:$W$500,W311,$D$2:$D$500,"invoice",$A$2:$A$500,"line"),"")</f>
        <v/>
      </c>
      <c r="Z311" s="2">
        <f>IF(AND(A311="line",D311="quote"),COUNTIFS($W$2:$W$500,W311,$D$2:$D$500,"invoice",$A$2:$A$500,"line"),"")</f>
        <v/>
      </c>
      <c r="AA311" s="2">
        <f>IF(AND(A311="line",D311="invoice"),COUNTIFS($W$2:$W$500,W311,$D$2:$D$500,"quote",$A$2:$A$500,"line"),"")</f>
        <v/>
      </c>
      <c r="AB311" s="2">
        <f>IF(A311&lt;&gt;"line","",IF(D311="quote",IF(Z311=0,"quote only",IF(ABS(Y311-N311)&gt;Settings!$B$2,"amount differs","match")),IF(AA311=0,"invoice only","match")))</f>
        <v/>
      </c>
      <c r="AC311" s="2">
        <f>IF(AND(A311="line",AB311&lt;&gt;"match",COUNTIFS($A$2:$A$500,"coverage",$B$2:$B$500,B311,$C$2:$C$500,C311,$D$2:$D$500,"invoice")&gt;0),MAX($AC$1:AC310)+1,"")</f>
        <v/>
      </c>
      <c r="AD311" s="2">
        <f>IF(A311&lt;&gt;"line","",IF(O311="UNMAPPED","no mapping rule",IF(P311="L","low confidence","")))</f>
        <v/>
      </c>
      <c r="AE311" s="2">
        <f>IF(AD311&lt;&gt;"",MAX($AE$1:AE310)+1,"")</f>
        <v/>
      </c>
      <c r="AF311" s="2">
        <f>IF(A311="coverage",MAX($AF$1:AF310)+1,"")</f>
        <v/>
      </c>
      <c r="AG311" s="2">
        <f>IF(A311="line",IF(COUNTIFS($B$1:B310,B311,$C$1:C310,C311,$A$1:A310,"line")=0,MAX($AG$1:AG310)+1,""),"")</f>
        <v/>
      </c>
    </row>
    <row r="312">
      <c r="W312" s="2">
        <f>IF(A312="line",IF(D312="quote",E312,G312)&amp;"|"&amp;LOWER(TRIM(K312)),"")</f>
        <v/>
      </c>
      <c r="X312" s="2">
        <f>IF(OR(O312="LABOUR",O312="INSTALL"),"LABOUR_ALL",IF(O312="","",O312))</f>
        <v/>
      </c>
      <c r="Y312" s="9">
        <f>IF(AND(A312="line",D312="quote"),SUMIFS($N$2:$N$500,$W$2:$W$500,W312,$D$2:$D$500,"invoice",$A$2:$A$500,"line"),"")</f>
        <v/>
      </c>
      <c r="Z312" s="2">
        <f>IF(AND(A312="line",D312="quote"),COUNTIFS($W$2:$W$500,W312,$D$2:$D$500,"invoice",$A$2:$A$500,"line"),"")</f>
        <v/>
      </c>
      <c r="AA312" s="2">
        <f>IF(AND(A312="line",D312="invoice"),COUNTIFS($W$2:$W$500,W312,$D$2:$D$500,"quote",$A$2:$A$500,"line"),"")</f>
        <v/>
      </c>
      <c r="AB312" s="2">
        <f>IF(A312&lt;&gt;"line","",IF(D312="quote",IF(Z312=0,"quote only",IF(ABS(Y312-N312)&gt;Settings!$B$2,"amount differs","match")),IF(AA312=0,"invoice only","match")))</f>
        <v/>
      </c>
      <c r="AC312" s="2">
        <f>IF(AND(A312="line",AB312&lt;&gt;"match",COUNTIFS($A$2:$A$500,"coverage",$B$2:$B$500,B312,$C$2:$C$500,C312,$D$2:$D$500,"invoice")&gt;0),MAX($AC$1:AC311)+1,"")</f>
        <v/>
      </c>
      <c r="AD312" s="2">
        <f>IF(A312&lt;&gt;"line","",IF(O312="UNMAPPED","no mapping rule",IF(P312="L","low confidence","")))</f>
        <v/>
      </c>
      <c r="AE312" s="2">
        <f>IF(AD312&lt;&gt;"",MAX($AE$1:AE311)+1,"")</f>
        <v/>
      </c>
      <c r="AF312" s="2">
        <f>IF(A312="coverage",MAX($AF$1:AF311)+1,"")</f>
        <v/>
      </c>
      <c r="AG312" s="2">
        <f>IF(A312="line",IF(COUNTIFS($B$1:B311,B312,$C$1:C311,C312,$A$1:A311,"line")=0,MAX($AG$1:AG311)+1,""),"")</f>
        <v/>
      </c>
    </row>
    <row r="313">
      <c r="W313" s="2">
        <f>IF(A313="line",IF(D313="quote",E313,G313)&amp;"|"&amp;LOWER(TRIM(K313)),"")</f>
        <v/>
      </c>
      <c r="X313" s="2">
        <f>IF(OR(O313="LABOUR",O313="INSTALL"),"LABOUR_ALL",IF(O313="","",O313))</f>
        <v/>
      </c>
      <c r="Y313" s="9">
        <f>IF(AND(A313="line",D313="quote"),SUMIFS($N$2:$N$500,$W$2:$W$500,W313,$D$2:$D$500,"invoice",$A$2:$A$500,"line"),"")</f>
        <v/>
      </c>
      <c r="Z313" s="2">
        <f>IF(AND(A313="line",D313="quote"),COUNTIFS($W$2:$W$500,W313,$D$2:$D$500,"invoice",$A$2:$A$500,"line"),"")</f>
        <v/>
      </c>
      <c r="AA313" s="2">
        <f>IF(AND(A313="line",D313="invoice"),COUNTIFS($W$2:$W$500,W313,$D$2:$D$500,"quote",$A$2:$A$500,"line"),"")</f>
        <v/>
      </c>
      <c r="AB313" s="2">
        <f>IF(A313&lt;&gt;"line","",IF(D313="quote",IF(Z313=0,"quote only",IF(ABS(Y313-N313)&gt;Settings!$B$2,"amount differs","match")),IF(AA313=0,"invoice only","match")))</f>
        <v/>
      </c>
      <c r="AC313" s="2">
        <f>IF(AND(A313="line",AB313&lt;&gt;"match",COUNTIFS($A$2:$A$500,"coverage",$B$2:$B$500,B313,$C$2:$C$500,C313,$D$2:$D$500,"invoice")&gt;0),MAX($AC$1:AC312)+1,"")</f>
        <v/>
      </c>
      <c r="AD313" s="2">
        <f>IF(A313&lt;&gt;"line","",IF(O313="UNMAPPED","no mapping rule",IF(P313="L","low confidence","")))</f>
        <v/>
      </c>
      <c r="AE313" s="2">
        <f>IF(AD313&lt;&gt;"",MAX($AE$1:AE312)+1,"")</f>
        <v/>
      </c>
      <c r="AF313" s="2">
        <f>IF(A313="coverage",MAX($AF$1:AF312)+1,"")</f>
        <v/>
      </c>
      <c r="AG313" s="2">
        <f>IF(A313="line",IF(COUNTIFS($B$1:B312,B313,$C$1:C312,C313,$A$1:A312,"line")=0,MAX($AG$1:AG312)+1,""),"")</f>
        <v/>
      </c>
    </row>
    <row r="314">
      <c r="W314" s="2">
        <f>IF(A314="line",IF(D314="quote",E314,G314)&amp;"|"&amp;LOWER(TRIM(K314)),"")</f>
        <v/>
      </c>
      <c r="X314" s="2">
        <f>IF(OR(O314="LABOUR",O314="INSTALL"),"LABOUR_ALL",IF(O314="","",O314))</f>
        <v/>
      </c>
      <c r="Y314" s="9">
        <f>IF(AND(A314="line",D314="quote"),SUMIFS($N$2:$N$500,$W$2:$W$500,W314,$D$2:$D$500,"invoice",$A$2:$A$500,"line"),"")</f>
        <v/>
      </c>
      <c r="Z314" s="2">
        <f>IF(AND(A314="line",D314="quote"),COUNTIFS($W$2:$W$500,W314,$D$2:$D$500,"invoice",$A$2:$A$500,"line"),"")</f>
        <v/>
      </c>
      <c r="AA314" s="2">
        <f>IF(AND(A314="line",D314="invoice"),COUNTIFS($W$2:$W$500,W314,$D$2:$D$500,"quote",$A$2:$A$500,"line"),"")</f>
        <v/>
      </c>
      <c r="AB314" s="2">
        <f>IF(A314&lt;&gt;"line","",IF(D314="quote",IF(Z314=0,"quote only",IF(ABS(Y314-N314)&gt;Settings!$B$2,"amount differs","match")),IF(AA314=0,"invoice only","match")))</f>
        <v/>
      </c>
      <c r="AC314" s="2">
        <f>IF(AND(A314="line",AB314&lt;&gt;"match",COUNTIFS($A$2:$A$500,"coverage",$B$2:$B$500,B314,$C$2:$C$500,C314,$D$2:$D$500,"invoice")&gt;0),MAX($AC$1:AC313)+1,"")</f>
        <v/>
      </c>
      <c r="AD314" s="2">
        <f>IF(A314&lt;&gt;"line","",IF(O314="UNMAPPED","no mapping rule",IF(P314="L","low confidence","")))</f>
        <v/>
      </c>
      <c r="AE314" s="2">
        <f>IF(AD314&lt;&gt;"",MAX($AE$1:AE313)+1,"")</f>
        <v/>
      </c>
      <c r="AF314" s="2">
        <f>IF(A314="coverage",MAX($AF$1:AF313)+1,"")</f>
        <v/>
      </c>
      <c r="AG314" s="2">
        <f>IF(A314="line",IF(COUNTIFS($B$1:B313,B314,$C$1:C313,C314,$A$1:A313,"line")=0,MAX($AG$1:AG313)+1,""),"")</f>
        <v/>
      </c>
    </row>
    <row r="315">
      <c r="W315" s="2">
        <f>IF(A315="line",IF(D315="quote",E315,G315)&amp;"|"&amp;LOWER(TRIM(K315)),"")</f>
        <v/>
      </c>
      <c r="X315" s="2">
        <f>IF(OR(O315="LABOUR",O315="INSTALL"),"LABOUR_ALL",IF(O315="","",O315))</f>
        <v/>
      </c>
      <c r="Y315" s="9">
        <f>IF(AND(A315="line",D315="quote"),SUMIFS($N$2:$N$500,$W$2:$W$500,W315,$D$2:$D$500,"invoice",$A$2:$A$500,"line"),"")</f>
        <v/>
      </c>
      <c r="Z315" s="2">
        <f>IF(AND(A315="line",D315="quote"),COUNTIFS($W$2:$W$500,W315,$D$2:$D$500,"invoice",$A$2:$A$500,"line"),"")</f>
        <v/>
      </c>
      <c r="AA315" s="2">
        <f>IF(AND(A315="line",D315="invoice"),COUNTIFS($W$2:$W$500,W315,$D$2:$D$500,"quote",$A$2:$A$500,"line"),"")</f>
        <v/>
      </c>
      <c r="AB315" s="2">
        <f>IF(A315&lt;&gt;"line","",IF(D315="quote",IF(Z315=0,"quote only",IF(ABS(Y315-N315)&gt;Settings!$B$2,"amount differs","match")),IF(AA315=0,"invoice only","match")))</f>
        <v/>
      </c>
      <c r="AC315" s="2">
        <f>IF(AND(A315="line",AB315&lt;&gt;"match",COUNTIFS($A$2:$A$500,"coverage",$B$2:$B$500,B315,$C$2:$C$500,C315,$D$2:$D$500,"invoice")&gt;0),MAX($AC$1:AC314)+1,"")</f>
        <v/>
      </c>
      <c r="AD315" s="2">
        <f>IF(A315&lt;&gt;"line","",IF(O315="UNMAPPED","no mapping rule",IF(P315="L","low confidence","")))</f>
        <v/>
      </c>
      <c r="AE315" s="2">
        <f>IF(AD315&lt;&gt;"",MAX($AE$1:AE314)+1,"")</f>
        <v/>
      </c>
      <c r="AF315" s="2">
        <f>IF(A315="coverage",MAX($AF$1:AF314)+1,"")</f>
        <v/>
      </c>
      <c r="AG315" s="2">
        <f>IF(A315="line",IF(COUNTIFS($B$1:B314,B315,$C$1:C314,C315,$A$1:A314,"line")=0,MAX($AG$1:AG314)+1,""),"")</f>
        <v/>
      </c>
    </row>
    <row r="316">
      <c r="W316" s="2">
        <f>IF(A316="line",IF(D316="quote",E316,G316)&amp;"|"&amp;LOWER(TRIM(K316)),"")</f>
        <v/>
      </c>
      <c r="X316" s="2">
        <f>IF(OR(O316="LABOUR",O316="INSTALL"),"LABOUR_ALL",IF(O316="","",O316))</f>
        <v/>
      </c>
      <c r="Y316" s="9">
        <f>IF(AND(A316="line",D316="quote"),SUMIFS($N$2:$N$500,$W$2:$W$500,W316,$D$2:$D$500,"invoice",$A$2:$A$500,"line"),"")</f>
        <v/>
      </c>
      <c r="Z316" s="2">
        <f>IF(AND(A316="line",D316="quote"),COUNTIFS($W$2:$W$500,W316,$D$2:$D$500,"invoice",$A$2:$A$500,"line"),"")</f>
        <v/>
      </c>
      <c r="AA316" s="2">
        <f>IF(AND(A316="line",D316="invoice"),COUNTIFS($W$2:$W$500,W316,$D$2:$D$500,"quote",$A$2:$A$500,"line"),"")</f>
        <v/>
      </c>
      <c r="AB316" s="2">
        <f>IF(A316&lt;&gt;"line","",IF(D316="quote",IF(Z316=0,"quote only",IF(ABS(Y316-N316)&gt;Settings!$B$2,"amount differs","match")),IF(AA316=0,"invoice only","match")))</f>
        <v/>
      </c>
      <c r="AC316" s="2">
        <f>IF(AND(A316="line",AB316&lt;&gt;"match",COUNTIFS($A$2:$A$500,"coverage",$B$2:$B$500,B316,$C$2:$C$500,C316,$D$2:$D$500,"invoice")&gt;0),MAX($AC$1:AC315)+1,"")</f>
        <v/>
      </c>
      <c r="AD316" s="2">
        <f>IF(A316&lt;&gt;"line","",IF(O316="UNMAPPED","no mapping rule",IF(P316="L","low confidence","")))</f>
        <v/>
      </c>
      <c r="AE316" s="2">
        <f>IF(AD316&lt;&gt;"",MAX($AE$1:AE315)+1,"")</f>
        <v/>
      </c>
      <c r="AF316" s="2">
        <f>IF(A316="coverage",MAX($AF$1:AF315)+1,"")</f>
        <v/>
      </c>
      <c r="AG316" s="2">
        <f>IF(A316="line",IF(COUNTIFS($B$1:B315,B316,$C$1:C315,C316,$A$1:A315,"line")=0,MAX($AG$1:AG315)+1,""),"")</f>
        <v/>
      </c>
    </row>
    <row r="317">
      <c r="W317" s="2">
        <f>IF(A317="line",IF(D317="quote",E317,G317)&amp;"|"&amp;LOWER(TRIM(K317)),"")</f>
        <v/>
      </c>
      <c r="X317" s="2">
        <f>IF(OR(O317="LABOUR",O317="INSTALL"),"LABOUR_ALL",IF(O317="","",O317))</f>
        <v/>
      </c>
      <c r="Y317" s="9">
        <f>IF(AND(A317="line",D317="quote"),SUMIFS($N$2:$N$500,$W$2:$W$500,W317,$D$2:$D$500,"invoice",$A$2:$A$500,"line"),"")</f>
        <v/>
      </c>
      <c r="Z317" s="2">
        <f>IF(AND(A317="line",D317="quote"),COUNTIFS($W$2:$W$500,W317,$D$2:$D$500,"invoice",$A$2:$A$500,"line"),"")</f>
        <v/>
      </c>
      <c r="AA317" s="2">
        <f>IF(AND(A317="line",D317="invoice"),COUNTIFS($W$2:$W$500,W317,$D$2:$D$500,"quote",$A$2:$A$500,"line"),"")</f>
        <v/>
      </c>
      <c r="AB317" s="2">
        <f>IF(A317&lt;&gt;"line","",IF(D317="quote",IF(Z317=0,"quote only",IF(ABS(Y317-N317)&gt;Settings!$B$2,"amount differs","match")),IF(AA317=0,"invoice only","match")))</f>
        <v/>
      </c>
      <c r="AC317" s="2">
        <f>IF(AND(A317="line",AB317&lt;&gt;"match",COUNTIFS($A$2:$A$500,"coverage",$B$2:$B$500,B317,$C$2:$C$500,C317,$D$2:$D$500,"invoice")&gt;0),MAX($AC$1:AC316)+1,"")</f>
        <v/>
      </c>
      <c r="AD317" s="2">
        <f>IF(A317&lt;&gt;"line","",IF(O317="UNMAPPED","no mapping rule",IF(P317="L","low confidence","")))</f>
        <v/>
      </c>
      <c r="AE317" s="2">
        <f>IF(AD317&lt;&gt;"",MAX($AE$1:AE316)+1,"")</f>
        <v/>
      </c>
      <c r="AF317" s="2">
        <f>IF(A317="coverage",MAX($AF$1:AF316)+1,"")</f>
        <v/>
      </c>
      <c r="AG317" s="2">
        <f>IF(A317="line",IF(COUNTIFS($B$1:B316,B317,$C$1:C316,C317,$A$1:A316,"line")=0,MAX($AG$1:AG316)+1,""),"")</f>
        <v/>
      </c>
    </row>
    <row r="318">
      <c r="W318" s="2">
        <f>IF(A318="line",IF(D318="quote",E318,G318)&amp;"|"&amp;LOWER(TRIM(K318)),"")</f>
        <v/>
      </c>
      <c r="X318" s="2">
        <f>IF(OR(O318="LABOUR",O318="INSTALL"),"LABOUR_ALL",IF(O318="","",O318))</f>
        <v/>
      </c>
      <c r="Y318" s="9">
        <f>IF(AND(A318="line",D318="quote"),SUMIFS($N$2:$N$500,$W$2:$W$500,W318,$D$2:$D$500,"invoice",$A$2:$A$500,"line"),"")</f>
        <v/>
      </c>
      <c r="Z318" s="2">
        <f>IF(AND(A318="line",D318="quote"),COUNTIFS($W$2:$W$500,W318,$D$2:$D$500,"invoice",$A$2:$A$500,"line"),"")</f>
        <v/>
      </c>
      <c r="AA318" s="2">
        <f>IF(AND(A318="line",D318="invoice"),COUNTIFS($W$2:$W$500,W318,$D$2:$D$500,"quote",$A$2:$A$500,"line"),"")</f>
        <v/>
      </c>
      <c r="AB318" s="2">
        <f>IF(A318&lt;&gt;"line","",IF(D318="quote",IF(Z318=0,"quote only",IF(ABS(Y318-N318)&gt;Settings!$B$2,"amount differs","match")),IF(AA318=0,"invoice only","match")))</f>
        <v/>
      </c>
      <c r="AC318" s="2">
        <f>IF(AND(A318="line",AB318&lt;&gt;"match",COUNTIFS($A$2:$A$500,"coverage",$B$2:$B$500,B318,$C$2:$C$500,C318,$D$2:$D$500,"invoice")&gt;0),MAX($AC$1:AC317)+1,"")</f>
        <v/>
      </c>
      <c r="AD318" s="2">
        <f>IF(A318&lt;&gt;"line","",IF(O318="UNMAPPED","no mapping rule",IF(P318="L","low confidence","")))</f>
        <v/>
      </c>
      <c r="AE318" s="2">
        <f>IF(AD318&lt;&gt;"",MAX($AE$1:AE317)+1,"")</f>
        <v/>
      </c>
      <c r="AF318" s="2">
        <f>IF(A318="coverage",MAX($AF$1:AF317)+1,"")</f>
        <v/>
      </c>
      <c r="AG318" s="2">
        <f>IF(A318="line",IF(COUNTIFS($B$1:B317,B318,$C$1:C317,C318,$A$1:A317,"line")=0,MAX($AG$1:AG317)+1,""),"")</f>
        <v/>
      </c>
    </row>
    <row r="319">
      <c r="W319" s="2">
        <f>IF(A319="line",IF(D319="quote",E319,G319)&amp;"|"&amp;LOWER(TRIM(K319)),"")</f>
        <v/>
      </c>
      <c r="X319" s="2">
        <f>IF(OR(O319="LABOUR",O319="INSTALL"),"LABOUR_ALL",IF(O319="","",O319))</f>
        <v/>
      </c>
      <c r="Y319" s="9">
        <f>IF(AND(A319="line",D319="quote"),SUMIFS($N$2:$N$500,$W$2:$W$500,W319,$D$2:$D$500,"invoice",$A$2:$A$500,"line"),"")</f>
        <v/>
      </c>
      <c r="Z319" s="2">
        <f>IF(AND(A319="line",D319="quote"),COUNTIFS($W$2:$W$500,W319,$D$2:$D$500,"invoice",$A$2:$A$500,"line"),"")</f>
        <v/>
      </c>
      <c r="AA319" s="2">
        <f>IF(AND(A319="line",D319="invoice"),COUNTIFS($W$2:$W$500,W319,$D$2:$D$500,"quote",$A$2:$A$500,"line"),"")</f>
        <v/>
      </c>
      <c r="AB319" s="2">
        <f>IF(A319&lt;&gt;"line","",IF(D319="quote",IF(Z319=0,"quote only",IF(ABS(Y319-N319)&gt;Settings!$B$2,"amount differs","match")),IF(AA319=0,"invoice only","match")))</f>
        <v/>
      </c>
      <c r="AC319" s="2">
        <f>IF(AND(A319="line",AB319&lt;&gt;"match",COUNTIFS($A$2:$A$500,"coverage",$B$2:$B$500,B319,$C$2:$C$500,C319,$D$2:$D$500,"invoice")&gt;0),MAX($AC$1:AC318)+1,"")</f>
        <v/>
      </c>
      <c r="AD319" s="2">
        <f>IF(A319&lt;&gt;"line","",IF(O319="UNMAPPED","no mapping rule",IF(P319="L","low confidence","")))</f>
        <v/>
      </c>
      <c r="AE319" s="2">
        <f>IF(AD319&lt;&gt;"",MAX($AE$1:AE318)+1,"")</f>
        <v/>
      </c>
      <c r="AF319" s="2">
        <f>IF(A319="coverage",MAX($AF$1:AF318)+1,"")</f>
        <v/>
      </c>
      <c r="AG319" s="2">
        <f>IF(A319="line",IF(COUNTIFS($B$1:B318,B319,$C$1:C318,C319,$A$1:A318,"line")=0,MAX($AG$1:AG318)+1,""),"")</f>
        <v/>
      </c>
    </row>
    <row r="320">
      <c r="W320" s="2">
        <f>IF(A320="line",IF(D320="quote",E320,G320)&amp;"|"&amp;LOWER(TRIM(K320)),"")</f>
        <v/>
      </c>
      <c r="X320" s="2">
        <f>IF(OR(O320="LABOUR",O320="INSTALL"),"LABOUR_ALL",IF(O320="","",O320))</f>
        <v/>
      </c>
      <c r="Y320" s="9">
        <f>IF(AND(A320="line",D320="quote"),SUMIFS($N$2:$N$500,$W$2:$W$500,W320,$D$2:$D$500,"invoice",$A$2:$A$500,"line"),"")</f>
        <v/>
      </c>
      <c r="Z320" s="2">
        <f>IF(AND(A320="line",D320="quote"),COUNTIFS($W$2:$W$500,W320,$D$2:$D$500,"invoice",$A$2:$A$500,"line"),"")</f>
        <v/>
      </c>
      <c r="AA320" s="2">
        <f>IF(AND(A320="line",D320="invoice"),COUNTIFS($W$2:$W$500,W320,$D$2:$D$500,"quote",$A$2:$A$500,"line"),"")</f>
        <v/>
      </c>
      <c r="AB320" s="2">
        <f>IF(A320&lt;&gt;"line","",IF(D320="quote",IF(Z320=0,"quote only",IF(ABS(Y320-N320)&gt;Settings!$B$2,"amount differs","match")),IF(AA320=0,"invoice only","match")))</f>
        <v/>
      </c>
      <c r="AC320" s="2">
        <f>IF(AND(A320="line",AB320&lt;&gt;"match",COUNTIFS($A$2:$A$500,"coverage",$B$2:$B$500,B320,$C$2:$C$500,C320,$D$2:$D$500,"invoice")&gt;0),MAX($AC$1:AC319)+1,"")</f>
        <v/>
      </c>
      <c r="AD320" s="2">
        <f>IF(A320&lt;&gt;"line","",IF(O320="UNMAPPED","no mapping rule",IF(P320="L","low confidence","")))</f>
        <v/>
      </c>
      <c r="AE320" s="2">
        <f>IF(AD320&lt;&gt;"",MAX($AE$1:AE319)+1,"")</f>
        <v/>
      </c>
      <c r="AF320" s="2">
        <f>IF(A320="coverage",MAX($AF$1:AF319)+1,"")</f>
        <v/>
      </c>
      <c r="AG320" s="2">
        <f>IF(A320="line",IF(COUNTIFS($B$1:B319,B320,$C$1:C319,C320,$A$1:A319,"line")=0,MAX($AG$1:AG319)+1,""),"")</f>
        <v/>
      </c>
    </row>
    <row r="321">
      <c r="W321" s="2">
        <f>IF(A321="line",IF(D321="quote",E321,G321)&amp;"|"&amp;LOWER(TRIM(K321)),"")</f>
        <v/>
      </c>
      <c r="X321" s="2">
        <f>IF(OR(O321="LABOUR",O321="INSTALL"),"LABOUR_ALL",IF(O321="","",O321))</f>
        <v/>
      </c>
      <c r="Y321" s="9">
        <f>IF(AND(A321="line",D321="quote"),SUMIFS($N$2:$N$500,$W$2:$W$500,W321,$D$2:$D$500,"invoice",$A$2:$A$500,"line"),"")</f>
        <v/>
      </c>
      <c r="Z321" s="2">
        <f>IF(AND(A321="line",D321="quote"),COUNTIFS($W$2:$W$500,W321,$D$2:$D$500,"invoice",$A$2:$A$500,"line"),"")</f>
        <v/>
      </c>
      <c r="AA321" s="2">
        <f>IF(AND(A321="line",D321="invoice"),COUNTIFS($W$2:$W$500,W321,$D$2:$D$500,"quote",$A$2:$A$500,"line"),"")</f>
        <v/>
      </c>
      <c r="AB321" s="2">
        <f>IF(A321&lt;&gt;"line","",IF(D321="quote",IF(Z321=0,"quote only",IF(ABS(Y321-N321)&gt;Settings!$B$2,"amount differs","match")),IF(AA321=0,"invoice only","match")))</f>
        <v/>
      </c>
      <c r="AC321" s="2">
        <f>IF(AND(A321="line",AB321&lt;&gt;"match",COUNTIFS($A$2:$A$500,"coverage",$B$2:$B$500,B321,$C$2:$C$500,C321,$D$2:$D$500,"invoice")&gt;0),MAX($AC$1:AC320)+1,"")</f>
        <v/>
      </c>
      <c r="AD321" s="2">
        <f>IF(A321&lt;&gt;"line","",IF(O321="UNMAPPED","no mapping rule",IF(P321="L","low confidence","")))</f>
        <v/>
      </c>
      <c r="AE321" s="2">
        <f>IF(AD321&lt;&gt;"",MAX($AE$1:AE320)+1,"")</f>
        <v/>
      </c>
      <c r="AF321" s="2">
        <f>IF(A321="coverage",MAX($AF$1:AF320)+1,"")</f>
        <v/>
      </c>
      <c r="AG321" s="2">
        <f>IF(A321="line",IF(COUNTIFS($B$1:B320,B321,$C$1:C320,C321,$A$1:A320,"line")=0,MAX($AG$1:AG320)+1,""),"")</f>
        <v/>
      </c>
    </row>
    <row r="322">
      <c r="W322" s="2">
        <f>IF(A322="line",IF(D322="quote",E322,G322)&amp;"|"&amp;LOWER(TRIM(K322)),"")</f>
        <v/>
      </c>
      <c r="X322" s="2">
        <f>IF(OR(O322="LABOUR",O322="INSTALL"),"LABOUR_ALL",IF(O322="","",O322))</f>
        <v/>
      </c>
      <c r="Y322" s="9">
        <f>IF(AND(A322="line",D322="quote"),SUMIFS($N$2:$N$500,$W$2:$W$500,W322,$D$2:$D$500,"invoice",$A$2:$A$500,"line"),"")</f>
        <v/>
      </c>
      <c r="Z322" s="2">
        <f>IF(AND(A322="line",D322="quote"),COUNTIFS($W$2:$W$500,W322,$D$2:$D$500,"invoice",$A$2:$A$500,"line"),"")</f>
        <v/>
      </c>
      <c r="AA322" s="2">
        <f>IF(AND(A322="line",D322="invoice"),COUNTIFS($W$2:$W$500,W322,$D$2:$D$500,"quote",$A$2:$A$500,"line"),"")</f>
        <v/>
      </c>
      <c r="AB322" s="2">
        <f>IF(A322&lt;&gt;"line","",IF(D322="quote",IF(Z322=0,"quote only",IF(ABS(Y322-N322)&gt;Settings!$B$2,"amount differs","match")),IF(AA322=0,"invoice only","match")))</f>
        <v/>
      </c>
      <c r="AC322" s="2">
        <f>IF(AND(A322="line",AB322&lt;&gt;"match",COUNTIFS($A$2:$A$500,"coverage",$B$2:$B$500,B322,$C$2:$C$500,C322,$D$2:$D$500,"invoice")&gt;0),MAX($AC$1:AC321)+1,"")</f>
        <v/>
      </c>
      <c r="AD322" s="2">
        <f>IF(A322&lt;&gt;"line","",IF(O322="UNMAPPED","no mapping rule",IF(P322="L","low confidence","")))</f>
        <v/>
      </c>
      <c r="AE322" s="2">
        <f>IF(AD322&lt;&gt;"",MAX($AE$1:AE321)+1,"")</f>
        <v/>
      </c>
      <c r="AF322" s="2">
        <f>IF(A322="coverage",MAX($AF$1:AF321)+1,"")</f>
        <v/>
      </c>
      <c r="AG322" s="2">
        <f>IF(A322="line",IF(COUNTIFS($B$1:B321,B322,$C$1:C321,C322,$A$1:A321,"line")=0,MAX($AG$1:AG321)+1,""),"")</f>
        <v/>
      </c>
    </row>
    <row r="323">
      <c r="W323" s="2">
        <f>IF(A323="line",IF(D323="quote",E323,G323)&amp;"|"&amp;LOWER(TRIM(K323)),"")</f>
        <v/>
      </c>
      <c r="X323" s="2">
        <f>IF(OR(O323="LABOUR",O323="INSTALL"),"LABOUR_ALL",IF(O323="","",O323))</f>
        <v/>
      </c>
      <c r="Y323" s="9">
        <f>IF(AND(A323="line",D323="quote"),SUMIFS($N$2:$N$500,$W$2:$W$500,W323,$D$2:$D$500,"invoice",$A$2:$A$500,"line"),"")</f>
        <v/>
      </c>
      <c r="Z323" s="2">
        <f>IF(AND(A323="line",D323="quote"),COUNTIFS($W$2:$W$500,W323,$D$2:$D$500,"invoice",$A$2:$A$500,"line"),"")</f>
        <v/>
      </c>
      <c r="AA323" s="2">
        <f>IF(AND(A323="line",D323="invoice"),COUNTIFS($W$2:$W$500,W323,$D$2:$D$500,"quote",$A$2:$A$500,"line"),"")</f>
        <v/>
      </c>
      <c r="AB323" s="2">
        <f>IF(A323&lt;&gt;"line","",IF(D323="quote",IF(Z323=0,"quote only",IF(ABS(Y323-N323)&gt;Settings!$B$2,"amount differs","match")),IF(AA323=0,"invoice only","match")))</f>
        <v/>
      </c>
      <c r="AC323" s="2">
        <f>IF(AND(A323="line",AB323&lt;&gt;"match",COUNTIFS($A$2:$A$500,"coverage",$B$2:$B$500,B323,$C$2:$C$500,C323,$D$2:$D$500,"invoice")&gt;0),MAX($AC$1:AC322)+1,"")</f>
        <v/>
      </c>
      <c r="AD323" s="2">
        <f>IF(A323&lt;&gt;"line","",IF(O323="UNMAPPED","no mapping rule",IF(P323="L","low confidence","")))</f>
        <v/>
      </c>
      <c r="AE323" s="2">
        <f>IF(AD323&lt;&gt;"",MAX($AE$1:AE322)+1,"")</f>
        <v/>
      </c>
      <c r="AF323" s="2">
        <f>IF(A323="coverage",MAX($AF$1:AF322)+1,"")</f>
        <v/>
      </c>
      <c r="AG323" s="2">
        <f>IF(A323="line",IF(COUNTIFS($B$1:B322,B323,$C$1:C322,C323,$A$1:A322,"line")=0,MAX($AG$1:AG322)+1,""),"")</f>
        <v/>
      </c>
    </row>
    <row r="324">
      <c r="W324" s="2">
        <f>IF(A324="line",IF(D324="quote",E324,G324)&amp;"|"&amp;LOWER(TRIM(K324)),"")</f>
        <v/>
      </c>
      <c r="X324" s="2">
        <f>IF(OR(O324="LABOUR",O324="INSTALL"),"LABOUR_ALL",IF(O324="","",O324))</f>
        <v/>
      </c>
      <c r="Y324" s="9">
        <f>IF(AND(A324="line",D324="quote"),SUMIFS($N$2:$N$500,$W$2:$W$500,W324,$D$2:$D$500,"invoice",$A$2:$A$500,"line"),"")</f>
        <v/>
      </c>
      <c r="Z324" s="2">
        <f>IF(AND(A324="line",D324="quote"),COUNTIFS($W$2:$W$500,W324,$D$2:$D$500,"invoice",$A$2:$A$500,"line"),"")</f>
        <v/>
      </c>
      <c r="AA324" s="2">
        <f>IF(AND(A324="line",D324="invoice"),COUNTIFS($W$2:$W$500,W324,$D$2:$D$500,"quote",$A$2:$A$500,"line"),"")</f>
        <v/>
      </c>
      <c r="AB324" s="2">
        <f>IF(A324&lt;&gt;"line","",IF(D324="quote",IF(Z324=0,"quote only",IF(ABS(Y324-N324)&gt;Settings!$B$2,"amount differs","match")),IF(AA324=0,"invoice only","match")))</f>
        <v/>
      </c>
      <c r="AC324" s="2">
        <f>IF(AND(A324="line",AB324&lt;&gt;"match",COUNTIFS($A$2:$A$500,"coverage",$B$2:$B$500,B324,$C$2:$C$500,C324,$D$2:$D$500,"invoice")&gt;0),MAX($AC$1:AC323)+1,"")</f>
        <v/>
      </c>
      <c r="AD324" s="2">
        <f>IF(A324&lt;&gt;"line","",IF(O324="UNMAPPED","no mapping rule",IF(P324="L","low confidence","")))</f>
        <v/>
      </c>
      <c r="AE324" s="2">
        <f>IF(AD324&lt;&gt;"",MAX($AE$1:AE323)+1,"")</f>
        <v/>
      </c>
      <c r="AF324" s="2">
        <f>IF(A324="coverage",MAX($AF$1:AF323)+1,"")</f>
        <v/>
      </c>
      <c r="AG324" s="2">
        <f>IF(A324="line",IF(COUNTIFS($B$1:B323,B324,$C$1:C323,C324,$A$1:A323,"line")=0,MAX($AG$1:AG323)+1,""),"")</f>
        <v/>
      </c>
    </row>
    <row r="325">
      <c r="W325" s="2">
        <f>IF(A325="line",IF(D325="quote",E325,G325)&amp;"|"&amp;LOWER(TRIM(K325)),"")</f>
        <v/>
      </c>
      <c r="X325" s="2">
        <f>IF(OR(O325="LABOUR",O325="INSTALL"),"LABOUR_ALL",IF(O325="","",O325))</f>
        <v/>
      </c>
      <c r="Y325" s="9">
        <f>IF(AND(A325="line",D325="quote"),SUMIFS($N$2:$N$500,$W$2:$W$500,W325,$D$2:$D$500,"invoice",$A$2:$A$500,"line"),"")</f>
        <v/>
      </c>
      <c r="Z325" s="2">
        <f>IF(AND(A325="line",D325="quote"),COUNTIFS($W$2:$W$500,W325,$D$2:$D$500,"invoice",$A$2:$A$500,"line"),"")</f>
        <v/>
      </c>
      <c r="AA325" s="2">
        <f>IF(AND(A325="line",D325="invoice"),COUNTIFS($W$2:$W$500,W325,$D$2:$D$500,"quote",$A$2:$A$500,"line"),"")</f>
        <v/>
      </c>
      <c r="AB325" s="2">
        <f>IF(A325&lt;&gt;"line","",IF(D325="quote",IF(Z325=0,"quote only",IF(ABS(Y325-N325)&gt;Settings!$B$2,"amount differs","match")),IF(AA325=0,"invoice only","match")))</f>
        <v/>
      </c>
      <c r="AC325" s="2">
        <f>IF(AND(A325="line",AB325&lt;&gt;"match",COUNTIFS($A$2:$A$500,"coverage",$B$2:$B$500,B325,$C$2:$C$500,C325,$D$2:$D$500,"invoice")&gt;0),MAX($AC$1:AC324)+1,"")</f>
        <v/>
      </c>
      <c r="AD325" s="2">
        <f>IF(A325&lt;&gt;"line","",IF(O325="UNMAPPED","no mapping rule",IF(P325="L","low confidence","")))</f>
        <v/>
      </c>
      <c r="AE325" s="2">
        <f>IF(AD325&lt;&gt;"",MAX($AE$1:AE324)+1,"")</f>
        <v/>
      </c>
      <c r="AF325" s="2">
        <f>IF(A325="coverage",MAX($AF$1:AF324)+1,"")</f>
        <v/>
      </c>
      <c r="AG325" s="2">
        <f>IF(A325="line",IF(COUNTIFS($B$1:B324,B325,$C$1:C324,C325,$A$1:A324,"line")=0,MAX($AG$1:AG324)+1,""),"")</f>
        <v/>
      </c>
    </row>
    <row r="326">
      <c r="W326" s="2">
        <f>IF(A326="line",IF(D326="quote",E326,G326)&amp;"|"&amp;LOWER(TRIM(K326)),"")</f>
        <v/>
      </c>
      <c r="X326" s="2">
        <f>IF(OR(O326="LABOUR",O326="INSTALL"),"LABOUR_ALL",IF(O326="","",O326))</f>
        <v/>
      </c>
      <c r="Y326" s="9">
        <f>IF(AND(A326="line",D326="quote"),SUMIFS($N$2:$N$500,$W$2:$W$500,W326,$D$2:$D$500,"invoice",$A$2:$A$500,"line"),"")</f>
        <v/>
      </c>
      <c r="Z326" s="2">
        <f>IF(AND(A326="line",D326="quote"),COUNTIFS($W$2:$W$500,W326,$D$2:$D$500,"invoice",$A$2:$A$500,"line"),"")</f>
        <v/>
      </c>
      <c r="AA326" s="2">
        <f>IF(AND(A326="line",D326="invoice"),COUNTIFS($W$2:$W$500,W326,$D$2:$D$500,"quote",$A$2:$A$500,"line"),"")</f>
        <v/>
      </c>
      <c r="AB326" s="2">
        <f>IF(A326&lt;&gt;"line","",IF(D326="quote",IF(Z326=0,"quote only",IF(ABS(Y326-N326)&gt;Settings!$B$2,"amount differs","match")),IF(AA326=0,"invoice only","match")))</f>
        <v/>
      </c>
      <c r="AC326" s="2">
        <f>IF(AND(A326="line",AB326&lt;&gt;"match",COUNTIFS($A$2:$A$500,"coverage",$B$2:$B$500,B326,$C$2:$C$500,C326,$D$2:$D$500,"invoice")&gt;0),MAX($AC$1:AC325)+1,"")</f>
        <v/>
      </c>
      <c r="AD326" s="2">
        <f>IF(A326&lt;&gt;"line","",IF(O326="UNMAPPED","no mapping rule",IF(P326="L","low confidence","")))</f>
        <v/>
      </c>
      <c r="AE326" s="2">
        <f>IF(AD326&lt;&gt;"",MAX($AE$1:AE325)+1,"")</f>
        <v/>
      </c>
      <c r="AF326" s="2">
        <f>IF(A326="coverage",MAX($AF$1:AF325)+1,"")</f>
        <v/>
      </c>
      <c r="AG326" s="2">
        <f>IF(A326="line",IF(COUNTIFS($B$1:B325,B326,$C$1:C325,C326,$A$1:A325,"line")=0,MAX($AG$1:AG325)+1,""),"")</f>
        <v/>
      </c>
    </row>
    <row r="327">
      <c r="W327" s="2">
        <f>IF(A327="line",IF(D327="quote",E327,G327)&amp;"|"&amp;LOWER(TRIM(K327)),"")</f>
        <v/>
      </c>
      <c r="X327" s="2">
        <f>IF(OR(O327="LABOUR",O327="INSTALL"),"LABOUR_ALL",IF(O327="","",O327))</f>
        <v/>
      </c>
      <c r="Y327" s="9">
        <f>IF(AND(A327="line",D327="quote"),SUMIFS($N$2:$N$500,$W$2:$W$500,W327,$D$2:$D$500,"invoice",$A$2:$A$500,"line"),"")</f>
        <v/>
      </c>
      <c r="Z327" s="2">
        <f>IF(AND(A327="line",D327="quote"),COUNTIFS($W$2:$W$500,W327,$D$2:$D$500,"invoice",$A$2:$A$500,"line"),"")</f>
        <v/>
      </c>
      <c r="AA327" s="2">
        <f>IF(AND(A327="line",D327="invoice"),COUNTIFS($W$2:$W$500,W327,$D$2:$D$500,"quote",$A$2:$A$500,"line"),"")</f>
        <v/>
      </c>
      <c r="AB327" s="2">
        <f>IF(A327&lt;&gt;"line","",IF(D327="quote",IF(Z327=0,"quote only",IF(ABS(Y327-N327)&gt;Settings!$B$2,"amount differs","match")),IF(AA327=0,"invoice only","match")))</f>
        <v/>
      </c>
      <c r="AC327" s="2">
        <f>IF(AND(A327="line",AB327&lt;&gt;"match",COUNTIFS($A$2:$A$500,"coverage",$B$2:$B$500,B327,$C$2:$C$500,C327,$D$2:$D$500,"invoice")&gt;0),MAX($AC$1:AC326)+1,"")</f>
        <v/>
      </c>
      <c r="AD327" s="2">
        <f>IF(A327&lt;&gt;"line","",IF(O327="UNMAPPED","no mapping rule",IF(P327="L","low confidence","")))</f>
        <v/>
      </c>
      <c r="AE327" s="2">
        <f>IF(AD327&lt;&gt;"",MAX($AE$1:AE326)+1,"")</f>
        <v/>
      </c>
      <c r="AF327" s="2">
        <f>IF(A327="coverage",MAX($AF$1:AF326)+1,"")</f>
        <v/>
      </c>
      <c r="AG327" s="2">
        <f>IF(A327="line",IF(COUNTIFS($B$1:B326,B327,$C$1:C326,C327,$A$1:A326,"line")=0,MAX($AG$1:AG326)+1,""),"")</f>
        <v/>
      </c>
    </row>
    <row r="328">
      <c r="W328" s="2">
        <f>IF(A328="line",IF(D328="quote",E328,G328)&amp;"|"&amp;LOWER(TRIM(K328)),"")</f>
        <v/>
      </c>
      <c r="X328" s="2">
        <f>IF(OR(O328="LABOUR",O328="INSTALL"),"LABOUR_ALL",IF(O328="","",O328))</f>
        <v/>
      </c>
      <c r="Y328" s="9">
        <f>IF(AND(A328="line",D328="quote"),SUMIFS($N$2:$N$500,$W$2:$W$500,W328,$D$2:$D$500,"invoice",$A$2:$A$500,"line"),"")</f>
        <v/>
      </c>
      <c r="Z328" s="2">
        <f>IF(AND(A328="line",D328="quote"),COUNTIFS($W$2:$W$500,W328,$D$2:$D$500,"invoice",$A$2:$A$500,"line"),"")</f>
        <v/>
      </c>
      <c r="AA328" s="2">
        <f>IF(AND(A328="line",D328="invoice"),COUNTIFS($W$2:$W$500,W328,$D$2:$D$500,"quote",$A$2:$A$500,"line"),"")</f>
        <v/>
      </c>
      <c r="AB328" s="2">
        <f>IF(A328&lt;&gt;"line","",IF(D328="quote",IF(Z328=0,"quote only",IF(ABS(Y328-N328)&gt;Settings!$B$2,"amount differs","match")),IF(AA328=0,"invoice only","match")))</f>
        <v/>
      </c>
      <c r="AC328" s="2">
        <f>IF(AND(A328="line",AB328&lt;&gt;"match",COUNTIFS($A$2:$A$500,"coverage",$B$2:$B$500,B328,$C$2:$C$500,C328,$D$2:$D$500,"invoice")&gt;0),MAX($AC$1:AC327)+1,"")</f>
        <v/>
      </c>
      <c r="AD328" s="2">
        <f>IF(A328&lt;&gt;"line","",IF(O328="UNMAPPED","no mapping rule",IF(P328="L","low confidence","")))</f>
        <v/>
      </c>
      <c r="AE328" s="2">
        <f>IF(AD328&lt;&gt;"",MAX($AE$1:AE327)+1,"")</f>
        <v/>
      </c>
      <c r="AF328" s="2">
        <f>IF(A328="coverage",MAX($AF$1:AF327)+1,"")</f>
        <v/>
      </c>
      <c r="AG328" s="2">
        <f>IF(A328="line",IF(COUNTIFS($B$1:B327,B328,$C$1:C327,C328,$A$1:A327,"line")=0,MAX($AG$1:AG327)+1,""),"")</f>
        <v/>
      </c>
    </row>
    <row r="329">
      <c r="W329" s="2">
        <f>IF(A329="line",IF(D329="quote",E329,G329)&amp;"|"&amp;LOWER(TRIM(K329)),"")</f>
        <v/>
      </c>
      <c r="X329" s="2">
        <f>IF(OR(O329="LABOUR",O329="INSTALL"),"LABOUR_ALL",IF(O329="","",O329))</f>
        <v/>
      </c>
      <c r="Y329" s="9">
        <f>IF(AND(A329="line",D329="quote"),SUMIFS($N$2:$N$500,$W$2:$W$500,W329,$D$2:$D$500,"invoice",$A$2:$A$500,"line"),"")</f>
        <v/>
      </c>
      <c r="Z329" s="2">
        <f>IF(AND(A329="line",D329="quote"),COUNTIFS($W$2:$W$500,W329,$D$2:$D$500,"invoice",$A$2:$A$500,"line"),"")</f>
        <v/>
      </c>
      <c r="AA329" s="2">
        <f>IF(AND(A329="line",D329="invoice"),COUNTIFS($W$2:$W$500,W329,$D$2:$D$500,"quote",$A$2:$A$500,"line"),"")</f>
        <v/>
      </c>
      <c r="AB329" s="2">
        <f>IF(A329&lt;&gt;"line","",IF(D329="quote",IF(Z329=0,"quote only",IF(ABS(Y329-N329)&gt;Settings!$B$2,"amount differs","match")),IF(AA329=0,"invoice only","match")))</f>
        <v/>
      </c>
      <c r="AC329" s="2">
        <f>IF(AND(A329="line",AB329&lt;&gt;"match",COUNTIFS($A$2:$A$500,"coverage",$B$2:$B$500,B329,$C$2:$C$500,C329,$D$2:$D$500,"invoice")&gt;0),MAX($AC$1:AC328)+1,"")</f>
        <v/>
      </c>
      <c r="AD329" s="2">
        <f>IF(A329&lt;&gt;"line","",IF(O329="UNMAPPED","no mapping rule",IF(P329="L","low confidence","")))</f>
        <v/>
      </c>
      <c r="AE329" s="2">
        <f>IF(AD329&lt;&gt;"",MAX($AE$1:AE328)+1,"")</f>
        <v/>
      </c>
      <c r="AF329" s="2">
        <f>IF(A329="coverage",MAX($AF$1:AF328)+1,"")</f>
        <v/>
      </c>
      <c r="AG329" s="2">
        <f>IF(A329="line",IF(COUNTIFS($B$1:B328,B329,$C$1:C328,C329,$A$1:A328,"line")=0,MAX($AG$1:AG328)+1,""),"")</f>
        <v/>
      </c>
    </row>
    <row r="330">
      <c r="W330" s="2">
        <f>IF(A330="line",IF(D330="quote",E330,G330)&amp;"|"&amp;LOWER(TRIM(K330)),"")</f>
        <v/>
      </c>
      <c r="X330" s="2">
        <f>IF(OR(O330="LABOUR",O330="INSTALL"),"LABOUR_ALL",IF(O330="","",O330))</f>
        <v/>
      </c>
      <c r="Y330" s="9">
        <f>IF(AND(A330="line",D330="quote"),SUMIFS($N$2:$N$500,$W$2:$W$500,W330,$D$2:$D$500,"invoice",$A$2:$A$500,"line"),"")</f>
        <v/>
      </c>
      <c r="Z330" s="2">
        <f>IF(AND(A330="line",D330="quote"),COUNTIFS($W$2:$W$500,W330,$D$2:$D$500,"invoice",$A$2:$A$500,"line"),"")</f>
        <v/>
      </c>
      <c r="AA330" s="2">
        <f>IF(AND(A330="line",D330="invoice"),COUNTIFS($W$2:$W$500,W330,$D$2:$D$500,"quote",$A$2:$A$500,"line"),"")</f>
        <v/>
      </c>
      <c r="AB330" s="2">
        <f>IF(A330&lt;&gt;"line","",IF(D330="quote",IF(Z330=0,"quote only",IF(ABS(Y330-N330)&gt;Settings!$B$2,"amount differs","match")),IF(AA330=0,"invoice only","match")))</f>
        <v/>
      </c>
      <c r="AC330" s="2">
        <f>IF(AND(A330="line",AB330&lt;&gt;"match",COUNTIFS($A$2:$A$500,"coverage",$B$2:$B$500,B330,$C$2:$C$500,C330,$D$2:$D$500,"invoice")&gt;0),MAX($AC$1:AC329)+1,"")</f>
        <v/>
      </c>
      <c r="AD330" s="2">
        <f>IF(A330&lt;&gt;"line","",IF(O330="UNMAPPED","no mapping rule",IF(P330="L","low confidence","")))</f>
        <v/>
      </c>
      <c r="AE330" s="2">
        <f>IF(AD330&lt;&gt;"",MAX($AE$1:AE329)+1,"")</f>
        <v/>
      </c>
      <c r="AF330" s="2">
        <f>IF(A330="coverage",MAX($AF$1:AF329)+1,"")</f>
        <v/>
      </c>
      <c r="AG330" s="2">
        <f>IF(A330="line",IF(COUNTIFS($B$1:B329,B330,$C$1:C329,C330,$A$1:A329,"line")=0,MAX($AG$1:AG329)+1,""),"")</f>
        <v/>
      </c>
    </row>
    <row r="331">
      <c r="W331" s="2">
        <f>IF(A331="line",IF(D331="quote",E331,G331)&amp;"|"&amp;LOWER(TRIM(K331)),"")</f>
        <v/>
      </c>
      <c r="X331" s="2">
        <f>IF(OR(O331="LABOUR",O331="INSTALL"),"LABOUR_ALL",IF(O331="","",O331))</f>
        <v/>
      </c>
      <c r="Y331" s="9">
        <f>IF(AND(A331="line",D331="quote"),SUMIFS($N$2:$N$500,$W$2:$W$500,W331,$D$2:$D$500,"invoice",$A$2:$A$500,"line"),"")</f>
        <v/>
      </c>
      <c r="Z331" s="2">
        <f>IF(AND(A331="line",D331="quote"),COUNTIFS($W$2:$W$500,W331,$D$2:$D$500,"invoice",$A$2:$A$500,"line"),"")</f>
        <v/>
      </c>
      <c r="AA331" s="2">
        <f>IF(AND(A331="line",D331="invoice"),COUNTIFS($W$2:$W$500,W331,$D$2:$D$500,"quote",$A$2:$A$500,"line"),"")</f>
        <v/>
      </c>
      <c r="AB331" s="2">
        <f>IF(A331&lt;&gt;"line","",IF(D331="quote",IF(Z331=0,"quote only",IF(ABS(Y331-N331)&gt;Settings!$B$2,"amount differs","match")),IF(AA331=0,"invoice only","match")))</f>
        <v/>
      </c>
      <c r="AC331" s="2">
        <f>IF(AND(A331="line",AB331&lt;&gt;"match",COUNTIFS($A$2:$A$500,"coverage",$B$2:$B$500,B331,$C$2:$C$500,C331,$D$2:$D$500,"invoice")&gt;0),MAX($AC$1:AC330)+1,"")</f>
        <v/>
      </c>
      <c r="AD331" s="2">
        <f>IF(A331&lt;&gt;"line","",IF(O331="UNMAPPED","no mapping rule",IF(P331="L","low confidence","")))</f>
        <v/>
      </c>
      <c r="AE331" s="2">
        <f>IF(AD331&lt;&gt;"",MAX($AE$1:AE330)+1,"")</f>
        <v/>
      </c>
      <c r="AF331" s="2">
        <f>IF(A331="coverage",MAX($AF$1:AF330)+1,"")</f>
        <v/>
      </c>
      <c r="AG331" s="2">
        <f>IF(A331="line",IF(COUNTIFS($B$1:B330,B331,$C$1:C330,C331,$A$1:A330,"line")=0,MAX($AG$1:AG330)+1,""),"")</f>
        <v/>
      </c>
    </row>
    <row r="332">
      <c r="W332" s="2">
        <f>IF(A332="line",IF(D332="quote",E332,G332)&amp;"|"&amp;LOWER(TRIM(K332)),"")</f>
        <v/>
      </c>
      <c r="X332" s="2">
        <f>IF(OR(O332="LABOUR",O332="INSTALL"),"LABOUR_ALL",IF(O332="","",O332))</f>
        <v/>
      </c>
      <c r="Y332" s="9">
        <f>IF(AND(A332="line",D332="quote"),SUMIFS($N$2:$N$500,$W$2:$W$500,W332,$D$2:$D$500,"invoice",$A$2:$A$500,"line"),"")</f>
        <v/>
      </c>
      <c r="Z332" s="2">
        <f>IF(AND(A332="line",D332="quote"),COUNTIFS($W$2:$W$500,W332,$D$2:$D$500,"invoice",$A$2:$A$500,"line"),"")</f>
        <v/>
      </c>
      <c r="AA332" s="2">
        <f>IF(AND(A332="line",D332="invoice"),COUNTIFS($W$2:$W$500,W332,$D$2:$D$500,"quote",$A$2:$A$500,"line"),"")</f>
        <v/>
      </c>
      <c r="AB332" s="2">
        <f>IF(A332&lt;&gt;"line","",IF(D332="quote",IF(Z332=0,"quote only",IF(ABS(Y332-N332)&gt;Settings!$B$2,"amount differs","match")),IF(AA332=0,"invoice only","match")))</f>
        <v/>
      </c>
      <c r="AC332" s="2">
        <f>IF(AND(A332="line",AB332&lt;&gt;"match",COUNTIFS($A$2:$A$500,"coverage",$B$2:$B$500,B332,$C$2:$C$500,C332,$D$2:$D$500,"invoice")&gt;0),MAX($AC$1:AC331)+1,"")</f>
        <v/>
      </c>
      <c r="AD332" s="2">
        <f>IF(A332&lt;&gt;"line","",IF(O332="UNMAPPED","no mapping rule",IF(P332="L","low confidence","")))</f>
        <v/>
      </c>
      <c r="AE332" s="2">
        <f>IF(AD332&lt;&gt;"",MAX($AE$1:AE331)+1,"")</f>
        <v/>
      </c>
      <c r="AF332" s="2">
        <f>IF(A332="coverage",MAX($AF$1:AF331)+1,"")</f>
        <v/>
      </c>
      <c r="AG332" s="2">
        <f>IF(A332="line",IF(COUNTIFS($B$1:B331,B332,$C$1:C331,C332,$A$1:A331,"line")=0,MAX($AG$1:AG331)+1,""),"")</f>
        <v/>
      </c>
    </row>
    <row r="333">
      <c r="W333" s="2">
        <f>IF(A333="line",IF(D333="quote",E333,G333)&amp;"|"&amp;LOWER(TRIM(K333)),"")</f>
        <v/>
      </c>
      <c r="X333" s="2">
        <f>IF(OR(O333="LABOUR",O333="INSTALL"),"LABOUR_ALL",IF(O333="","",O333))</f>
        <v/>
      </c>
      <c r="Y333" s="9">
        <f>IF(AND(A333="line",D333="quote"),SUMIFS($N$2:$N$500,$W$2:$W$500,W333,$D$2:$D$500,"invoice",$A$2:$A$500,"line"),"")</f>
        <v/>
      </c>
      <c r="Z333" s="2">
        <f>IF(AND(A333="line",D333="quote"),COUNTIFS($W$2:$W$500,W333,$D$2:$D$500,"invoice",$A$2:$A$500,"line"),"")</f>
        <v/>
      </c>
      <c r="AA333" s="2">
        <f>IF(AND(A333="line",D333="invoice"),COUNTIFS($W$2:$W$500,W333,$D$2:$D$500,"quote",$A$2:$A$500,"line"),"")</f>
        <v/>
      </c>
      <c r="AB333" s="2">
        <f>IF(A333&lt;&gt;"line","",IF(D333="quote",IF(Z333=0,"quote only",IF(ABS(Y333-N333)&gt;Settings!$B$2,"amount differs","match")),IF(AA333=0,"invoice only","match")))</f>
        <v/>
      </c>
      <c r="AC333" s="2">
        <f>IF(AND(A333="line",AB333&lt;&gt;"match",COUNTIFS($A$2:$A$500,"coverage",$B$2:$B$500,B333,$C$2:$C$500,C333,$D$2:$D$500,"invoice")&gt;0),MAX($AC$1:AC332)+1,"")</f>
        <v/>
      </c>
      <c r="AD333" s="2">
        <f>IF(A333&lt;&gt;"line","",IF(O333="UNMAPPED","no mapping rule",IF(P333="L","low confidence","")))</f>
        <v/>
      </c>
      <c r="AE333" s="2">
        <f>IF(AD333&lt;&gt;"",MAX($AE$1:AE332)+1,"")</f>
        <v/>
      </c>
      <c r="AF333" s="2">
        <f>IF(A333="coverage",MAX($AF$1:AF332)+1,"")</f>
        <v/>
      </c>
      <c r="AG333" s="2">
        <f>IF(A333="line",IF(COUNTIFS($B$1:B332,B333,$C$1:C332,C333,$A$1:A332,"line")=0,MAX($AG$1:AG332)+1,""),"")</f>
        <v/>
      </c>
    </row>
    <row r="334">
      <c r="W334" s="2">
        <f>IF(A334="line",IF(D334="quote",E334,G334)&amp;"|"&amp;LOWER(TRIM(K334)),"")</f>
        <v/>
      </c>
      <c r="X334" s="2">
        <f>IF(OR(O334="LABOUR",O334="INSTALL"),"LABOUR_ALL",IF(O334="","",O334))</f>
        <v/>
      </c>
      <c r="Y334" s="9">
        <f>IF(AND(A334="line",D334="quote"),SUMIFS($N$2:$N$500,$W$2:$W$500,W334,$D$2:$D$500,"invoice",$A$2:$A$500,"line"),"")</f>
        <v/>
      </c>
      <c r="Z334" s="2">
        <f>IF(AND(A334="line",D334="quote"),COUNTIFS($W$2:$W$500,W334,$D$2:$D$500,"invoice",$A$2:$A$500,"line"),"")</f>
        <v/>
      </c>
      <c r="AA334" s="2">
        <f>IF(AND(A334="line",D334="invoice"),COUNTIFS($W$2:$W$500,W334,$D$2:$D$500,"quote",$A$2:$A$500,"line"),"")</f>
        <v/>
      </c>
      <c r="AB334" s="2">
        <f>IF(A334&lt;&gt;"line","",IF(D334="quote",IF(Z334=0,"quote only",IF(ABS(Y334-N334)&gt;Settings!$B$2,"amount differs","match")),IF(AA334=0,"invoice only","match")))</f>
        <v/>
      </c>
      <c r="AC334" s="2">
        <f>IF(AND(A334="line",AB334&lt;&gt;"match",COUNTIFS($A$2:$A$500,"coverage",$B$2:$B$500,B334,$C$2:$C$500,C334,$D$2:$D$500,"invoice")&gt;0),MAX($AC$1:AC333)+1,"")</f>
        <v/>
      </c>
      <c r="AD334" s="2">
        <f>IF(A334&lt;&gt;"line","",IF(O334="UNMAPPED","no mapping rule",IF(P334="L","low confidence","")))</f>
        <v/>
      </c>
      <c r="AE334" s="2">
        <f>IF(AD334&lt;&gt;"",MAX($AE$1:AE333)+1,"")</f>
        <v/>
      </c>
      <c r="AF334" s="2">
        <f>IF(A334="coverage",MAX($AF$1:AF333)+1,"")</f>
        <v/>
      </c>
      <c r="AG334" s="2">
        <f>IF(A334="line",IF(COUNTIFS($B$1:B333,B334,$C$1:C333,C334,$A$1:A333,"line")=0,MAX($AG$1:AG333)+1,""),"")</f>
        <v/>
      </c>
    </row>
    <row r="335">
      <c r="W335" s="2">
        <f>IF(A335="line",IF(D335="quote",E335,G335)&amp;"|"&amp;LOWER(TRIM(K335)),"")</f>
        <v/>
      </c>
      <c r="X335" s="2">
        <f>IF(OR(O335="LABOUR",O335="INSTALL"),"LABOUR_ALL",IF(O335="","",O335))</f>
        <v/>
      </c>
      <c r="Y335" s="9">
        <f>IF(AND(A335="line",D335="quote"),SUMIFS($N$2:$N$500,$W$2:$W$500,W335,$D$2:$D$500,"invoice",$A$2:$A$500,"line"),"")</f>
        <v/>
      </c>
      <c r="Z335" s="2">
        <f>IF(AND(A335="line",D335="quote"),COUNTIFS($W$2:$W$500,W335,$D$2:$D$500,"invoice",$A$2:$A$500,"line"),"")</f>
        <v/>
      </c>
      <c r="AA335" s="2">
        <f>IF(AND(A335="line",D335="invoice"),COUNTIFS($W$2:$W$500,W335,$D$2:$D$500,"quote",$A$2:$A$500,"line"),"")</f>
        <v/>
      </c>
      <c r="AB335" s="2">
        <f>IF(A335&lt;&gt;"line","",IF(D335="quote",IF(Z335=0,"quote only",IF(ABS(Y335-N335)&gt;Settings!$B$2,"amount differs","match")),IF(AA335=0,"invoice only","match")))</f>
        <v/>
      </c>
      <c r="AC335" s="2">
        <f>IF(AND(A335="line",AB335&lt;&gt;"match",COUNTIFS($A$2:$A$500,"coverage",$B$2:$B$500,B335,$C$2:$C$500,C335,$D$2:$D$500,"invoice")&gt;0),MAX($AC$1:AC334)+1,"")</f>
        <v/>
      </c>
      <c r="AD335" s="2">
        <f>IF(A335&lt;&gt;"line","",IF(O335="UNMAPPED","no mapping rule",IF(P335="L","low confidence","")))</f>
        <v/>
      </c>
      <c r="AE335" s="2">
        <f>IF(AD335&lt;&gt;"",MAX($AE$1:AE334)+1,"")</f>
        <v/>
      </c>
      <c r="AF335" s="2">
        <f>IF(A335="coverage",MAX($AF$1:AF334)+1,"")</f>
        <v/>
      </c>
      <c r="AG335" s="2">
        <f>IF(A335="line",IF(COUNTIFS($B$1:B334,B335,$C$1:C334,C335,$A$1:A334,"line")=0,MAX($AG$1:AG334)+1,""),"")</f>
        <v/>
      </c>
    </row>
    <row r="336">
      <c r="W336" s="2">
        <f>IF(A336="line",IF(D336="quote",E336,G336)&amp;"|"&amp;LOWER(TRIM(K336)),"")</f>
        <v/>
      </c>
      <c r="X336" s="2">
        <f>IF(OR(O336="LABOUR",O336="INSTALL"),"LABOUR_ALL",IF(O336="","",O336))</f>
        <v/>
      </c>
      <c r="Y336" s="9">
        <f>IF(AND(A336="line",D336="quote"),SUMIFS($N$2:$N$500,$W$2:$W$500,W336,$D$2:$D$500,"invoice",$A$2:$A$500,"line"),"")</f>
        <v/>
      </c>
      <c r="Z336" s="2">
        <f>IF(AND(A336="line",D336="quote"),COUNTIFS($W$2:$W$500,W336,$D$2:$D$500,"invoice",$A$2:$A$500,"line"),"")</f>
        <v/>
      </c>
      <c r="AA336" s="2">
        <f>IF(AND(A336="line",D336="invoice"),COUNTIFS($W$2:$W$500,W336,$D$2:$D$500,"quote",$A$2:$A$500,"line"),"")</f>
        <v/>
      </c>
      <c r="AB336" s="2">
        <f>IF(A336&lt;&gt;"line","",IF(D336="quote",IF(Z336=0,"quote only",IF(ABS(Y336-N336)&gt;Settings!$B$2,"amount differs","match")),IF(AA336=0,"invoice only","match")))</f>
        <v/>
      </c>
      <c r="AC336" s="2">
        <f>IF(AND(A336="line",AB336&lt;&gt;"match",COUNTIFS($A$2:$A$500,"coverage",$B$2:$B$500,B336,$C$2:$C$500,C336,$D$2:$D$500,"invoice")&gt;0),MAX($AC$1:AC335)+1,"")</f>
        <v/>
      </c>
      <c r="AD336" s="2">
        <f>IF(A336&lt;&gt;"line","",IF(O336="UNMAPPED","no mapping rule",IF(P336="L","low confidence","")))</f>
        <v/>
      </c>
      <c r="AE336" s="2">
        <f>IF(AD336&lt;&gt;"",MAX($AE$1:AE335)+1,"")</f>
        <v/>
      </c>
      <c r="AF336" s="2">
        <f>IF(A336="coverage",MAX($AF$1:AF335)+1,"")</f>
        <v/>
      </c>
      <c r="AG336" s="2">
        <f>IF(A336="line",IF(COUNTIFS($B$1:B335,B336,$C$1:C335,C336,$A$1:A335,"line")=0,MAX($AG$1:AG335)+1,""),"")</f>
        <v/>
      </c>
    </row>
    <row r="337">
      <c r="W337" s="2">
        <f>IF(A337="line",IF(D337="quote",E337,G337)&amp;"|"&amp;LOWER(TRIM(K337)),"")</f>
        <v/>
      </c>
      <c r="X337" s="2">
        <f>IF(OR(O337="LABOUR",O337="INSTALL"),"LABOUR_ALL",IF(O337="","",O337))</f>
        <v/>
      </c>
      <c r="Y337" s="9">
        <f>IF(AND(A337="line",D337="quote"),SUMIFS($N$2:$N$500,$W$2:$W$500,W337,$D$2:$D$500,"invoice",$A$2:$A$500,"line"),"")</f>
        <v/>
      </c>
      <c r="Z337" s="2">
        <f>IF(AND(A337="line",D337="quote"),COUNTIFS($W$2:$W$500,W337,$D$2:$D$500,"invoice",$A$2:$A$500,"line"),"")</f>
        <v/>
      </c>
      <c r="AA337" s="2">
        <f>IF(AND(A337="line",D337="invoice"),COUNTIFS($W$2:$W$500,W337,$D$2:$D$500,"quote",$A$2:$A$500,"line"),"")</f>
        <v/>
      </c>
      <c r="AB337" s="2">
        <f>IF(A337&lt;&gt;"line","",IF(D337="quote",IF(Z337=0,"quote only",IF(ABS(Y337-N337)&gt;Settings!$B$2,"amount differs","match")),IF(AA337=0,"invoice only","match")))</f>
        <v/>
      </c>
      <c r="AC337" s="2">
        <f>IF(AND(A337="line",AB337&lt;&gt;"match",COUNTIFS($A$2:$A$500,"coverage",$B$2:$B$500,B337,$C$2:$C$500,C337,$D$2:$D$500,"invoice")&gt;0),MAX($AC$1:AC336)+1,"")</f>
        <v/>
      </c>
      <c r="AD337" s="2">
        <f>IF(A337&lt;&gt;"line","",IF(O337="UNMAPPED","no mapping rule",IF(P337="L","low confidence","")))</f>
        <v/>
      </c>
      <c r="AE337" s="2">
        <f>IF(AD337&lt;&gt;"",MAX($AE$1:AE336)+1,"")</f>
        <v/>
      </c>
      <c r="AF337" s="2">
        <f>IF(A337="coverage",MAX($AF$1:AF336)+1,"")</f>
        <v/>
      </c>
      <c r="AG337" s="2">
        <f>IF(A337="line",IF(COUNTIFS($B$1:B336,B337,$C$1:C336,C337,$A$1:A336,"line")=0,MAX($AG$1:AG336)+1,""),"")</f>
        <v/>
      </c>
    </row>
    <row r="338">
      <c r="W338" s="2">
        <f>IF(A338="line",IF(D338="quote",E338,G338)&amp;"|"&amp;LOWER(TRIM(K338)),"")</f>
        <v/>
      </c>
      <c r="X338" s="2">
        <f>IF(OR(O338="LABOUR",O338="INSTALL"),"LABOUR_ALL",IF(O338="","",O338))</f>
        <v/>
      </c>
      <c r="Y338" s="9">
        <f>IF(AND(A338="line",D338="quote"),SUMIFS($N$2:$N$500,$W$2:$W$500,W338,$D$2:$D$500,"invoice",$A$2:$A$500,"line"),"")</f>
        <v/>
      </c>
      <c r="Z338" s="2">
        <f>IF(AND(A338="line",D338="quote"),COUNTIFS($W$2:$W$500,W338,$D$2:$D$500,"invoice",$A$2:$A$500,"line"),"")</f>
        <v/>
      </c>
      <c r="AA338" s="2">
        <f>IF(AND(A338="line",D338="invoice"),COUNTIFS($W$2:$W$500,W338,$D$2:$D$500,"quote",$A$2:$A$500,"line"),"")</f>
        <v/>
      </c>
      <c r="AB338" s="2">
        <f>IF(A338&lt;&gt;"line","",IF(D338="quote",IF(Z338=0,"quote only",IF(ABS(Y338-N338)&gt;Settings!$B$2,"amount differs","match")),IF(AA338=0,"invoice only","match")))</f>
        <v/>
      </c>
      <c r="AC338" s="2">
        <f>IF(AND(A338="line",AB338&lt;&gt;"match",COUNTIFS($A$2:$A$500,"coverage",$B$2:$B$500,B338,$C$2:$C$500,C338,$D$2:$D$500,"invoice")&gt;0),MAX($AC$1:AC337)+1,"")</f>
        <v/>
      </c>
      <c r="AD338" s="2">
        <f>IF(A338&lt;&gt;"line","",IF(O338="UNMAPPED","no mapping rule",IF(P338="L","low confidence","")))</f>
        <v/>
      </c>
      <c r="AE338" s="2">
        <f>IF(AD338&lt;&gt;"",MAX($AE$1:AE337)+1,"")</f>
        <v/>
      </c>
      <c r="AF338" s="2">
        <f>IF(A338="coverage",MAX($AF$1:AF337)+1,"")</f>
        <v/>
      </c>
      <c r="AG338" s="2">
        <f>IF(A338="line",IF(COUNTIFS($B$1:B337,B338,$C$1:C337,C338,$A$1:A337,"line")=0,MAX($AG$1:AG337)+1,""),"")</f>
        <v/>
      </c>
    </row>
    <row r="339">
      <c r="W339" s="2">
        <f>IF(A339="line",IF(D339="quote",E339,G339)&amp;"|"&amp;LOWER(TRIM(K339)),"")</f>
        <v/>
      </c>
      <c r="X339" s="2">
        <f>IF(OR(O339="LABOUR",O339="INSTALL"),"LABOUR_ALL",IF(O339="","",O339))</f>
        <v/>
      </c>
      <c r="Y339" s="9">
        <f>IF(AND(A339="line",D339="quote"),SUMIFS($N$2:$N$500,$W$2:$W$500,W339,$D$2:$D$500,"invoice",$A$2:$A$500,"line"),"")</f>
        <v/>
      </c>
      <c r="Z339" s="2">
        <f>IF(AND(A339="line",D339="quote"),COUNTIFS($W$2:$W$500,W339,$D$2:$D$500,"invoice",$A$2:$A$500,"line"),"")</f>
        <v/>
      </c>
      <c r="AA339" s="2">
        <f>IF(AND(A339="line",D339="invoice"),COUNTIFS($W$2:$W$500,W339,$D$2:$D$500,"quote",$A$2:$A$500,"line"),"")</f>
        <v/>
      </c>
      <c r="AB339" s="2">
        <f>IF(A339&lt;&gt;"line","",IF(D339="quote",IF(Z339=0,"quote only",IF(ABS(Y339-N339)&gt;Settings!$B$2,"amount differs","match")),IF(AA339=0,"invoice only","match")))</f>
        <v/>
      </c>
      <c r="AC339" s="2">
        <f>IF(AND(A339="line",AB339&lt;&gt;"match",COUNTIFS($A$2:$A$500,"coverage",$B$2:$B$500,B339,$C$2:$C$500,C339,$D$2:$D$500,"invoice")&gt;0),MAX($AC$1:AC338)+1,"")</f>
        <v/>
      </c>
      <c r="AD339" s="2">
        <f>IF(A339&lt;&gt;"line","",IF(O339="UNMAPPED","no mapping rule",IF(P339="L","low confidence","")))</f>
        <v/>
      </c>
      <c r="AE339" s="2">
        <f>IF(AD339&lt;&gt;"",MAX($AE$1:AE338)+1,"")</f>
        <v/>
      </c>
      <c r="AF339" s="2">
        <f>IF(A339="coverage",MAX($AF$1:AF338)+1,"")</f>
        <v/>
      </c>
      <c r="AG339" s="2">
        <f>IF(A339="line",IF(COUNTIFS($B$1:B338,B339,$C$1:C338,C339,$A$1:A338,"line")=0,MAX($AG$1:AG338)+1,""),"")</f>
        <v/>
      </c>
    </row>
    <row r="340">
      <c r="W340" s="2">
        <f>IF(A340="line",IF(D340="quote",E340,G340)&amp;"|"&amp;LOWER(TRIM(K340)),"")</f>
        <v/>
      </c>
      <c r="X340" s="2">
        <f>IF(OR(O340="LABOUR",O340="INSTALL"),"LABOUR_ALL",IF(O340="","",O340))</f>
        <v/>
      </c>
      <c r="Y340" s="9">
        <f>IF(AND(A340="line",D340="quote"),SUMIFS($N$2:$N$500,$W$2:$W$500,W340,$D$2:$D$500,"invoice",$A$2:$A$500,"line"),"")</f>
        <v/>
      </c>
      <c r="Z340" s="2">
        <f>IF(AND(A340="line",D340="quote"),COUNTIFS($W$2:$W$500,W340,$D$2:$D$500,"invoice",$A$2:$A$500,"line"),"")</f>
        <v/>
      </c>
      <c r="AA340" s="2">
        <f>IF(AND(A340="line",D340="invoice"),COUNTIFS($W$2:$W$500,W340,$D$2:$D$500,"quote",$A$2:$A$500,"line"),"")</f>
        <v/>
      </c>
      <c r="AB340" s="2">
        <f>IF(A340&lt;&gt;"line","",IF(D340="quote",IF(Z340=0,"quote only",IF(ABS(Y340-N340)&gt;Settings!$B$2,"amount differs","match")),IF(AA340=0,"invoice only","match")))</f>
        <v/>
      </c>
      <c r="AC340" s="2">
        <f>IF(AND(A340="line",AB340&lt;&gt;"match",COUNTIFS($A$2:$A$500,"coverage",$B$2:$B$500,B340,$C$2:$C$500,C340,$D$2:$D$500,"invoice")&gt;0),MAX($AC$1:AC339)+1,"")</f>
        <v/>
      </c>
      <c r="AD340" s="2">
        <f>IF(A340&lt;&gt;"line","",IF(O340="UNMAPPED","no mapping rule",IF(P340="L","low confidence","")))</f>
        <v/>
      </c>
      <c r="AE340" s="2">
        <f>IF(AD340&lt;&gt;"",MAX($AE$1:AE339)+1,"")</f>
        <v/>
      </c>
      <c r="AF340" s="2">
        <f>IF(A340="coverage",MAX($AF$1:AF339)+1,"")</f>
        <v/>
      </c>
      <c r="AG340" s="2">
        <f>IF(A340="line",IF(COUNTIFS($B$1:B339,B340,$C$1:C339,C340,$A$1:A339,"line")=0,MAX($AG$1:AG339)+1,""),"")</f>
        <v/>
      </c>
    </row>
    <row r="341">
      <c r="W341" s="2">
        <f>IF(A341="line",IF(D341="quote",E341,G341)&amp;"|"&amp;LOWER(TRIM(K341)),"")</f>
        <v/>
      </c>
      <c r="X341" s="2">
        <f>IF(OR(O341="LABOUR",O341="INSTALL"),"LABOUR_ALL",IF(O341="","",O341))</f>
        <v/>
      </c>
      <c r="Y341" s="9">
        <f>IF(AND(A341="line",D341="quote"),SUMIFS($N$2:$N$500,$W$2:$W$500,W341,$D$2:$D$500,"invoice",$A$2:$A$500,"line"),"")</f>
        <v/>
      </c>
      <c r="Z341" s="2">
        <f>IF(AND(A341="line",D341="quote"),COUNTIFS($W$2:$W$500,W341,$D$2:$D$500,"invoice",$A$2:$A$500,"line"),"")</f>
        <v/>
      </c>
      <c r="AA341" s="2">
        <f>IF(AND(A341="line",D341="invoice"),COUNTIFS($W$2:$W$500,W341,$D$2:$D$500,"quote",$A$2:$A$500,"line"),"")</f>
        <v/>
      </c>
      <c r="AB341" s="2">
        <f>IF(A341&lt;&gt;"line","",IF(D341="quote",IF(Z341=0,"quote only",IF(ABS(Y341-N341)&gt;Settings!$B$2,"amount differs","match")),IF(AA341=0,"invoice only","match")))</f>
        <v/>
      </c>
      <c r="AC341" s="2">
        <f>IF(AND(A341="line",AB341&lt;&gt;"match",COUNTIFS($A$2:$A$500,"coverage",$B$2:$B$500,B341,$C$2:$C$500,C341,$D$2:$D$500,"invoice")&gt;0),MAX($AC$1:AC340)+1,"")</f>
        <v/>
      </c>
      <c r="AD341" s="2">
        <f>IF(A341&lt;&gt;"line","",IF(O341="UNMAPPED","no mapping rule",IF(P341="L","low confidence","")))</f>
        <v/>
      </c>
      <c r="AE341" s="2">
        <f>IF(AD341&lt;&gt;"",MAX($AE$1:AE340)+1,"")</f>
        <v/>
      </c>
      <c r="AF341" s="2">
        <f>IF(A341="coverage",MAX($AF$1:AF340)+1,"")</f>
        <v/>
      </c>
      <c r="AG341" s="2">
        <f>IF(A341="line",IF(COUNTIFS($B$1:B340,B341,$C$1:C340,C341,$A$1:A340,"line")=0,MAX($AG$1:AG340)+1,""),"")</f>
        <v/>
      </c>
    </row>
    <row r="342">
      <c r="W342" s="2">
        <f>IF(A342="line",IF(D342="quote",E342,G342)&amp;"|"&amp;LOWER(TRIM(K342)),"")</f>
        <v/>
      </c>
      <c r="X342" s="2">
        <f>IF(OR(O342="LABOUR",O342="INSTALL"),"LABOUR_ALL",IF(O342="","",O342))</f>
        <v/>
      </c>
      <c r="Y342" s="9">
        <f>IF(AND(A342="line",D342="quote"),SUMIFS($N$2:$N$500,$W$2:$W$500,W342,$D$2:$D$500,"invoice",$A$2:$A$500,"line"),"")</f>
        <v/>
      </c>
      <c r="Z342" s="2">
        <f>IF(AND(A342="line",D342="quote"),COUNTIFS($W$2:$W$500,W342,$D$2:$D$500,"invoice",$A$2:$A$500,"line"),"")</f>
        <v/>
      </c>
      <c r="AA342" s="2">
        <f>IF(AND(A342="line",D342="invoice"),COUNTIFS($W$2:$W$500,W342,$D$2:$D$500,"quote",$A$2:$A$500,"line"),"")</f>
        <v/>
      </c>
      <c r="AB342" s="2">
        <f>IF(A342&lt;&gt;"line","",IF(D342="quote",IF(Z342=0,"quote only",IF(ABS(Y342-N342)&gt;Settings!$B$2,"amount differs","match")),IF(AA342=0,"invoice only","match")))</f>
        <v/>
      </c>
      <c r="AC342" s="2">
        <f>IF(AND(A342="line",AB342&lt;&gt;"match",COUNTIFS($A$2:$A$500,"coverage",$B$2:$B$500,B342,$C$2:$C$500,C342,$D$2:$D$500,"invoice")&gt;0),MAX($AC$1:AC341)+1,"")</f>
        <v/>
      </c>
      <c r="AD342" s="2">
        <f>IF(A342&lt;&gt;"line","",IF(O342="UNMAPPED","no mapping rule",IF(P342="L","low confidence","")))</f>
        <v/>
      </c>
      <c r="AE342" s="2">
        <f>IF(AD342&lt;&gt;"",MAX($AE$1:AE341)+1,"")</f>
        <v/>
      </c>
      <c r="AF342" s="2">
        <f>IF(A342="coverage",MAX($AF$1:AF341)+1,"")</f>
        <v/>
      </c>
      <c r="AG342" s="2">
        <f>IF(A342="line",IF(COUNTIFS($B$1:B341,B342,$C$1:C341,C342,$A$1:A341,"line")=0,MAX($AG$1:AG341)+1,""),"")</f>
        <v/>
      </c>
    </row>
    <row r="343">
      <c r="W343" s="2">
        <f>IF(A343="line",IF(D343="quote",E343,G343)&amp;"|"&amp;LOWER(TRIM(K343)),"")</f>
        <v/>
      </c>
      <c r="X343" s="2">
        <f>IF(OR(O343="LABOUR",O343="INSTALL"),"LABOUR_ALL",IF(O343="","",O343))</f>
        <v/>
      </c>
      <c r="Y343" s="9">
        <f>IF(AND(A343="line",D343="quote"),SUMIFS($N$2:$N$500,$W$2:$W$500,W343,$D$2:$D$500,"invoice",$A$2:$A$500,"line"),"")</f>
        <v/>
      </c>
      <c r="Z343" s="2">
        <f>IF(AND(A343="line",D343="quote"),COUNTIFS($W$2:$W$500,W343,$D$2:$D$500,"invoice",$A$2:$A$500,"line"),"")</f>
        <v/>
      </c>
      <c r="AA343" s="2">
        <f>IF(AND(A343="line",D343="invoice"),COUNTIFS($W$2:$W$500,W343,$D$2:$D$500,"quote",$A$2:$A$500,"line"),"")</f>
        <v/>
      </c>
      <c r="AB343" s="2">
        <f>IF(A343&lt;&gt;"line","",IF(D343="quote",IF(Z343=0,"quote only",IF(ABS(Y343-N343)&gt;Settings!$B$2,"amount differs","match")),IF(AA343=0,"invoice only","match")))</f>
        <v/>
      </c>
      <c r="AC343" s="2">
        <f>IF(AND(A343="line",AB343&lt;&gt;"match",COUNTIFS($A$2:$A$500,"coverage",$B$2:$B$500,B343,$C$2:$C$500,C343,$D$2:$D$500,"invoice")&gt;0),MAX($AC$1:AC342)+1,"")</f>
        <v/>
      </c>
      <c r="AD343" s="2">
        <f>IF(A343&lt;&gt;"line","",IF(O343="UNMAPPED","no mapping rule",IF(P343="L","low confidence","")))</f>
        <v/>
      </c>
      <c r="AE343" s="2">
        <f>IF(AD343&lt;&gt;"",MAX($AE$1:AE342)+1,"")</f>
        <v/>
      </c>
      <c r="AF343" s="2">
        <f>IF(A343="coverage",MAX($AF$1:AF342)+1,"")</f>
        <v/>
      </c>
      <c r="AG343" s="2">
        <f>IF(A343="line",IF(COUNTIFS($B$1:B342,B343,$C$1:C342,C343,$A$1:A342,"line")=0,MAX($AG$1:AG342)+1,""),"")</f>
        <v/>
      </c>
    </row>
    <row r="344">
      <c r="W344" s="2">
        <f>IF(A344="line",IF(D344="quote",E344,G344)&amp;"|"&amp;LOWER(TRIM(K344)),"")</f>
        <v/>
      </c>
      <c r="X344" s="2">
        <f>IF(OR(O344="LABOUR",O344="INSTALL"),"LABOUR_ALL",IF(O344="","",O344))</f>
        <v/>
      </c>
      <c r="Y344" s="9">
        <f>IF(AND(A344="line",D344="quote"),SUMIFS($N$2:$N$500,$W$2:$W$500,W344,$D$2:$D$500,"invoice",$A$2:$A$500,"line"),"")</f>
        <v/>
      </c>
      <c r="Z344" s="2">
        <f>IF(AND(A344="line",D344="quote"),COUNTIFS($W$2:$W$500,W344,$D$2:$D$500,"invoice",$A$2:$A$500,"line"),"")</f>
        <v/>
      </c>
      <c r="AA344" s="2">
        <f>IF(AND(A344="line",D344="invoice"),COUNTIFS($W$2:$W$500,W344,$D$2:$D$500,"quote",$A$2:$A$500,"line"),"")</f>
        <v/>
      </c>
      <c r="AB344" s="2">
        <f>IF(A344&lt;&gt;"line","",IF(D344="quote",IF(Z344=0,"quote only",IF(ABS(Y344-N344)&gt;Settings!$B$2,"amount differs","match")),IF(AA344=0,"invoice only","match")))</f>
        <v/>
      </c>
      <c r="AC344" s="2">
        <f>IF(AND(A344="line",AB344&lt;&gt;"match",COUNTIFS($A$2:$A$500,"coverage",$B$2:$B$500,B344,$C$2:$C$500,C344,$D$2:$D$500,"invoice")&gt;0),MAX($AC$1:AC343)+1,"")</f>
        <v/>
      </c>
      <c r="AD344" s="2">
        <f>IF(A344&lt;&gt;"line","",IF(O344="UNMAPPED","no mapping rule",IF(P344="L","low confidence","")))</f>
        <v/>
      </c>
      <c r="AE344" s="2">
        <f>IF(AD344&lt;&gt;"",MAX($AE$1:AE343)+1,"")</f>
        <v/>
      </c>
      <c r="AF344" s="2">
        <f>IF(A344="coverage",MAX($AF$1:AF343)+1,"")</f>
        <v/>
      </c>
      <c r="AG344" s="2">
        <f>IF(A344="line",IF(COUNTIFS($B$1:B343,B344,$C$1:C343,C344,$A$1:A343,"line")=0,MAX($AG$1:AG343)+1,""),"")</f>
        <v/>
      </c>
    </row>
    <row r="345">
      <c r="W345" s="2">
        <f>IF(A345="line",IF(D345="quote",E345,G345)&amp;"|"&amp;LOWER(TRIM(K345)),"")</f>
        <v/>
      </c>
      <c r="X345" s="2">
        <f>IF(OR(O345="LABOUR",O345="INSTALL"),"LABOUR_ALL",IF(O345="","",O345))</f>
        <v/>
      </c>
      <c r="Y345" s="9">
        <f>IF(AND(A345="line",D345="quote"),SUMIFS($N$2:$N$500,$W$2:$W$500,W345,$D$2:$D$500,"invoice",$A$2:$A$500,"line"),"")</f>
        <v/>
      </c>
      <c r="Z345" s="2">
        <f>IF(AND(A345="line",D345="quote"),COUNTIFS($W$2:$W$500,W345,$D$2:$D$500,"invoice",$A$2:$A$500,"line"),"")</f>
        <v/>
      </c>
      <c r="AA345" s="2">
        <f>IF(AND(A345="line",D345="invoice"),COUNTIFS($W$2:$W$500,W345,$D$2:$D$500,"quote",$A$2:$A$500,"line"),"")</f>
        <v/>
      </c>
      <c r="AB345" s="2">
        <f>IF(A345&lt;&gt;"line","",IF(D345="quote",IF(Z345=0,"quote only",IF(ABS(Y345-N345)&gt;Settings!$B$2,"amount differs","match")),IF(AA345=0,"invoice only","match")))</f>
        <v/>
      </c>
      <c r="AC345" s="2">
        <f>IF(AND(A345="line",AB345&lt;&gt;"match",COUNTIFS($A$2:$A$500,"coverage",$B$2:$B$500,B345,$C$2:$C$500,C345,$D$2:$D$500,"invoice")&gt;0),MAX($AC$1:AC344)+1,"")</f>
        <v/>
      </c>
      <c r="AD345" s="2">
        <f>IF(A345&lt;&gt;"line","",IF(O345="UNMAPPED","no mapping rule",IF(P345="L","low confidence","")))</f>
        <v/>
      </c>
      <c r="AE345" s="2">
        <f>IF(AD345&lt;&gt;"",MAX($AE$1:AE344)+1,"")</f>
        <v/>
      </c>
      <c r="AF345" s="2">
        <f>IF(A345="coverage",MAX($AF$1:AF344)+1,"")</f>
        <v/>
      </c>
      <c r="AG345" s="2">
        <f>IF(A345="line",IF(COUNTIFS($B$1:B344,B345,$C$1:C344,C345,$A$1:A344,"line")=0,MAX($AG$1:AG344)+1,""),"")</f>
        <v/>
      </c>
    </row>
    <row r="346">
      <c r="W346" s="2">
        <f>IF(A346="line",IF(D346="quote",E346,G346)&amp;"|"&amp;LOWER(TRIM(K346)),"")</f>
        <v/>
      </c>
      <c r="X346" s="2">
        <f>IF(OR(O346="LABOUR",O346="INSTALL"),"LABOUR_ALL",IF(O346="","",O346))</f>
        <v/>
      </c>
      <c r="Y346" s="9">
        <f>IF(AND(A346="line",D346="quote"),SUMIFS($N$2:$N$500,$W$2:$W$500,W346,$D$2:$D$500,"invoice",$A$2:$A$500,"line"),"")</f>
        <v/>
      </c>
      <c r="Z346" s="2">
        <f>IF(AND(A346="line",D346="quote"),COUNTIFS($W$2:$W$500,W346,$D$2:$D$500,"invoice",$A$2:$A$500,"line"),"")</f>
        <v/>
      </c>
      <c r="AA346" s="2">
        <f>IF(AND(A346="line",D346="invoice"),COUNTIFS($W$2:$W$500,W346,$D$2:$D$500,"quote",$A$2:$A$500,"line"),"")</f>
        <v/>
      </c>
      <c r="AB346" s="2">
        <f>IF(A346&lt;&gt;"line","",IF(D346="quote",IF(Z346=0,"quote only",IF(ABS(Y346-N346)&gt;Settings!$B$2,"amount differs","match")),IF(AA346=0,"invoice only","match")))</f>
        <v/>
      </c>
      <c r="AC346" s="2">
        <f>IF(AND(A346="line",AB346&lt;&gt;"match",COUNTIFS($A$2:$A$500,"coverage",$B$2:$B$500,B346,$C$2:$C$500,C346,$D$2:$D$500,"invoice")&gt;0),MAX($AC$1:AC345)+1,"")</f>
        <v/>
      </c>
      <c r="AD346" s="2">
        <f>IF(A346&lt;&gt;"line","",IF(O346="UNMAPPED","no mapping rule",IF(P346="L","low confidence","")))</f>
        <v/>
      </c>
      <c r="AE346" s="2">
        <f>IF(AD346&lt;&gt;"",MAX($AE$1:AE345)+1,"")</f>
        <v/>
      </c>
      <c r="AF346" s="2">
        <f>IF(A346="coverage",MAX($AF$1:AF345)+1,"")</f>
        <v/>
      </c>
      <c r="AG346" s="2">
        <f>IF(A346="line",IF(COUNTIFS($B$1:B345,B346,$C$1:C345,C346,$A$1:A345,"line")=0,MAX($AG$1:AG345)+1,""),"")</f>
        <v/>
      </c>
    </row>
    <row r="347">
      <c r="W347" s="2">
        <f>IF(A347="line",IF(D347="quote",E347,G347)&amp;"|"&amp;LOWER(TRIM(K347)),"")</f>
        <v/>
      </c>
      <c r="X347" s="2">
        <f>IF(OR(O347="LABOUR",O347="INSTALL"),"LABOUR_ALL",IF(O347="","",O347))</f>
        <v/>
      </c>
      <c r="Y347" s="9">
        <f>IF(AND(A347="line",D347="quote"),SUMIFS($N$2:$N$500,$W$2:$W$500,W347,$D$2:$D$500,"invoice",$A$2:$A$500,"line"),"")</f>
        <v/>
      </c>
      <c r="Z347" s="2">
        <f>IF(AND(A347="line",D347="quote"),COUNTIFS($W$2:$W$500,W347,$D$2:$D$500,"invoice",$A$2:$A$500,"line"),"")</f>
        <v/>
      </c>
      <c r="AA347" s="2">
        <f>IF(AND(A347="line",D347="invoice"),COUNTIFS($W$2:$W$500,W347,$D$2:$D$500,"quote",$A$2:$A$500,"line"),"")</f>
        <v/>
      </c>
      <c r="AB347" s="2">
        <f>IF(A347&lt;&gt;"line","",IF(D347="quote",IF(Z347=0,"quote only",IF(ABS(Y347-N347)&gt;Settings!$B$2,"amount differs","match")),IF(AA347=0,"invoice only","match")))</f>
        <v/>
      </c>
      <c r="AC347" s="2">
        <f>IF(AND(A347="line",AB347&lt;&gt;"match",COUNTIFS($A$2:$A$500,"coverage",$B$2:$B$500,B347,$C$2:$C$500,C347,$D$2:$D$500,"invoice")&gt;0),MAX($AC$1:AC346)+1,"")</f>
        <v/>
      </c>
      <c r="AD347" s="2">
        <f>IF(A347&lt;&gt;"line","",IF(O347="UNMAPPED","no mapping rule",IF(P347="L","low confidence","")))</f>
        <v/>
      </c>
      <c r="AE347" s="2">
        <f>IF(AD347&lt;&gt;"",MAX($AE$1:AE346)+1,"")</f>
        <v/>
      </c>
      <c r="AF347" s="2">
        <f>IF(A347="coverage",MAX($AF$1:AF346)+1,"")</f>
        <v/>
      </c>
      <c r="AG347" s="2">
        <f>IF(A347="line",IF(COUNTIFS($B$1:B346,B347,$C$1:C346,C347,$A$1:A346,"line")=0,MAX($AG$1:AG346)+1,""),"")</f>
        <v/>
      </c>
    </row>
    <row r="348">
      <c r="W348" s="2">
        <f>IF(A348="line",IF(D348="quote",E348,G348)&amp;"|"&amp;LOWER(TRIM(K348)),"")</f>
        <v/>
      </c>
      <c r="X348" s="2">
        <f>IF(OR(O348="LABOUR",O348="INSTALL"),"LABOUR_ALL",IF(O348="","",O348))</f>
        <v/>
      </c>
      <c r="Y348" s="9">
        <f>IF(AND(A348="line",D348="quote"),SUMIFS($N$2:$N$500,$W$2:$W$500,W348,$D$2:$D$500,"invoice",$A$2:$A$500,"line"),"")</f>
        <v/>
      </c>
      <c r="Z348" s="2">
        <f>IF(AND(A348="line",D348="quote"),COUNTIFS($W$2:$W$500,W348,$D$2:$D$500,"invoice",$A$2:$A$500,"line"),"")</f>
        <v/>
      </c>
      <c r="AA348" s="2">
        <f>IF(AND(A348="line",D348="invoice"),COUNTIFS($W$2:$W$500,W348,$D$2:$D$500,"quote",$A$2:$A$500,"line"),"")</f>
        <v/>
      </c>
      <c r="AB348" s="2">
        <f>IF(A348&lt;&gt;"line","",IF(D348="quote",IF(Z348=0,"quote only",IF(ABS(Y348-N348)&gt;Settings!$B$2,"amount differs","match")),IF(AA348=0,"invoice only","match")))</f>
        <v/>
      </c>
      <c r="AC348" s="2">
        <f>IF(AND(A348="line",AB348&lt;&gt;"match",COUNTIFS($A$2:$A$500,"coverage",$B$2:$B$500,B348,$C$2:$C$500,C348,$D$2:$D$500,"invoice")&gt;0),MAX($AC$1:AC347)+1,"")</f>
        <v/>
      </c>
      <c r="AD348" s="2">
        <f>IF(A348&lt;&gt;"line","",IF(O348="UNMAPPED","no mapping rule",IF(P348="L","low confidence","")))</f>
        <v/>
      </c>
      <c r="AE348" s="2">
        <f>IF(AD348&lt;&gt;"",MAX($AE$1:AE347)+1,"")</f>
        <v/>
      </c>
      <c r="AF348" s="2">
        <f>IF(A348="coverage",MAX($AF$1:AF347)+1,"")</f>
        <v/>
      </c>
      <c r="AG348" s="2">
        <f>IF(A348="line",IF(COUNTIFS($B$1:B347,B348,$C$1:C347,C348,$A$1:A347,"line")=0,MAX($AG$1:AG347)+1,""),"")</f>
        <v/>
      </c>
    </row>
    <row r="349">
      <c r="W349" s="2">
        <f>IF(A349="line",IF(D349="quote",E349,G349)&amp;"|"&amp;LOWER(TRIM(K349)),"")</f>
        <v/>
      </c>
      <c r="X349" s="2">
        <f>IF(OR(O349="LABOUR",O349="INSTALL"),"LABOUR_ALL",IF(O349="","",O349))</f>
        <v/>
      </c>
      <c r="Y349" s="9">
        <f>IF(AND(A349="line",D349="quote"),SUMIFS($N$2:$N$500,$W$2:$W$500,W349,$D$2:$D$500,"invoice",$A$2:$A$500,"line"),"")</f>
        <v/>
      </c>
      <c r="Z349" s="2">
        <f>IF(AND(A349="line",D349="quote"),COUNTIFS($W$2:$W$500,W349,$D$2:$D$500,"invoice",$A$2:$A$500,"line"),"")</f>
        <v/>
      </c>
      <c r="AA349" s="2">
        <f>IF(AND(A349="line",D349="invoice"),COUNTIFS($W$2:$W$500,W349,$D$2:$D$500,"quote",$A$2:$A$500,"line"),"")</f>
        <v/>
      </c>
      <c r="AB349" s="2">
        <f>IF(A349&lt;&gt;"line","",IF(D349="quote",IF(Z349=0,"quote only",IF(ABS(Y349-N349)&gt;Settings!$B$2,"amount differs","match")),IF(AA349=0,"invoice only","match")))</f>
        <v/>
      </c>
      <c r="AC349" s="2">
        <f>IF(AND(A349="line",AB349&lt;&gt;"match",COUNTIFS($A$2:$A$500,"coverage",$B$2:$B$500,B349,$C$2:$C$500,C349,$D$2:$D$500,"invoice")&gt;0),MAX($AC$1:AC348)+1,"")</f>
        <v/>
      </c>
      <c r="AD349" s="2">
        <f>IF(A349&lt;&gt;"line","",IF(O349="UNMAPPED","no mapping rule",IF(P349="L","low confidence","")))</f>
        <v/>
      </c>
      <c r="AE349" s="2">
        <f>IF(AD349&lt;&gt;"",MAX($AE$1:AE348)+1,"")</f>
        <v/>
      </c>
      <c r="AF349" s="2">
        <f>IF(A349="coverage",MAX($AF$1:AF348)+1,"")</f>
        <v/>
      </c>
      <c r="AG349" s="2">
        <f>IF(A349="line",IF(COUNTIFS($B$1:B348,B349,$C$1:C348,C349,$A$1:A348,"line")=0,MAX($AG$1:AG348)+1,""),"")</f>
        <v/>
      </c>
    </row>
    <row r="350">
      <c r="W350" s="2">
        <f>IF(A350="line",IF(D350="quote",E350,G350)&amp;"|"&amp;LOWER(TRIM(K350)),"")</f>
        <v/>
      </c>
      <c r="X350" s="2">
        <f>IF(OR(O350="LABOUR",O350="INSTALL"),"LABOUR_ALL",IF(O350="","",O350))</f>
        <v/>
      </c>
      <c r="Y350" s="9">
        <f>IF(AND(A350="line",D350="quote"),SUMIFS($N$2:$N$500,$W$2:$W$500,W350,$D$2:$D$500,"invoice",$A$2:$A$500,"line"),"")</f>
        <v/>
      </c>
      <c r="Z350" s="2">
        <f>IF(AND(A350="line",D350="quote"),COUNTIFS($W$2:$W$500,W350,$D$2:$D$500,"invoice",$A$2:$A$500,"line"),"")</f>
        <v/>
      </c>
      <c r="AA350" s="2">
        <f>IF(AND(A350="line",D350="invoice"),COUNTIFS($W$2:$W$500,W350,$D$2:$D$500,"quote",$A$2:$A$500,"line"),"")</f>
        <v/>
      </c>
      <c r="AB350" s="2">
        <f>IF(A350&lt;&gt;"line","",IF(D350="quote",IF(Z350=0,"quote only",IF(ABS(Y350-N350)&gt;Settings!$B$2,"amount differs","match")),IF(AA350=0,"invoice only","match")))</f>
        <v/>
      </c>
      <c r="AC350" s="2">
        <f>IF(AND(A350="line",AB350&lt;&gt;"match",COUNTIFS($A$2:$A$500,"coverage",$B$2:$B$500,B350,$C$2:$C$500,C350,$D$2:$D$500,"invoice")&gt;0),MAX($AC$1:AC349)+1,"")</f>
        <v/>
      </c>
      <c r="AD350" s="2">
        <f>IF(A350&lt;&gt;"line","",IF(O350="UNMAPPED","no mapping rule",IF(P350="L","low confidence","")))</f>
        <v/>
      </c>
      <c r="AE350" s="2">
        <f>IF(AD350&lt;&gt;"",MAX($AE$1:AE349)+1,"")</f>
        <v/>
      </c>
      <c r="AF350" s="2">
        <f>IF(A350="coverage",MAX($AF$1:AF349)+1,"")</f>
        <v/>
      </c>
      <c r="AG350" s="2">
        <f>IF(A350="line",IF(COUNTIFS($B$1:B349,B350,$C$1:C349,C350,$A$1:A349,"line")=0,MAX($AG$1:AG349)+1,""),"")</f>
        <v/>
      </c>
    </row>
    <row r="351">
      <c r="W351" s="2">
        <f>IF(A351="line",IF(D351="quote",E351,G351)&amp;"|"&amp;LOWER(TRIM(K351)),"")</f>
        <v/>
      </c>
      <c r="X351" s="2">
        <f>IF(OR(O351="LABOUR",O351="INSTALL"),"LABOUR_ALL",IF(O351="","",O351))</f>
        <v/>
      </c>
      <c r="Y351" s="9">
        <f>IF(AND(A351="line",D351="quote"),SUMIFS($N$2:$N$500,$W$2:$W$500,W351,$D$2:$D$500,"invoice",$A$2:$A$500,"line"),"")</f>
        <v/>
      </c>
      <c r="Z351" s="2">
        <f>IF(AND(A351="line",D351="quote"),COUNTIFS($W$2:$W$500,W351,$D$2:$D$500,"invoice",$A$2:$A$500,"line"),"")</f>
        <v/>
      </c>
      <c r="AA351" s="2">
        <f>IF(AND(A351="line",D351="invoice"),COUNTIFS($W$2:$W$500,W351,$D$2:$D$500,"quote",$A$2:$A$500,"line"),"")</f>
        <v/>
      </c>
      <c r="AB351" s="2">
        <f>IF(A351&lt;&gt;"line","",IF(D351="quote",IF(Z351=0,"quote only",IF(ABS(Y351-N351)&gt;Settings!$B$2,"amount differs","match")),IF(AA351=0,"invoice only","match")))</f>
        <v/>
      </c>
      <c r="AC351" s="2">
        <f>IF(AND(A351="line",AB351&lt;&gt;"match",COUNTIFS($A$2:$A$500,"coverage",$B$2:$B$500,B351,$C$2:$C$500,C351,$D$2:$D$500,"invoice")&gt;0),MAX($AC$1:AC350)+1,"")</f>
        <v/>
      </c>
      <c r="AD351" s="2">
        <f>IF(A351&lt;&gt;"line","",IF(O351="UNMAPPED","no mapping rule",IF(P351="L","low confidence","")))</f>
        <v/>
      </c>
      <c r="AE351" s="2">
        <f>IF(AD351&lt;&gt;"",MAX($AE$1:AE350)+1,"")</f>
        <v/>
      </c>
      <c r="AF351" s="2">
        <f>IF(A351="coverage",MAX($AF$1:AF350)+1,"")</f>
        <v/>
      </c>
      <c r="AG351" s="2">
        <f>IF(A351="line",IF(COUNTIFS($B$1:B350,B351,$C$1:C350,C351,$A$1:A350,"line")=0,MAX($AG$1:AG350)+1,""),"")</f>
        <v/>
      </c>
    </row>
    <row r="352">
      <c r="W352" s="2">
        <f>IF(A352="line",IF(D352="quote",E352,G352)&amp;"|"&amp;LOWER(TRIM(K352)),"")</f>
        <v/>
      </c>
      <c r="X352" s="2">
        <f>IF(OR(O352="LABOUR",O352="INSTALL"),"LABOUR_ALL",IF(O352="","",O352))</f>
        <v/>
      </c>
      <c r="Y352" s="9">
        <f>IF(AND(A352="line",D352="quote"),SUMIFS($N$2:$N$500,$W$2:$W$500,W352,$D$2:$D$500,"invoice",$A$2:$A$500,"line"),"")</f>
        <v/>
      </c>
      <c r="Z352" s="2">
        <f>IF(AND(A352="line",D352="quote"),COUNTIFS($W$2:$W$500,W352,$D$2:$D$500,"invoice",$A$2:$A$500,"line"),"")</f>
        <v/>
      </c>
      <c r="AA352" s="2">
        <f>IF(AND(A352="line",D352="invoice"),COUNTIFS($W$2:$W$500,W352,$D$2:$D$500,"quote",$A$2:$A$500,"line"),"")</f>
        <v/>
      </c>
      <c r="AB352" s="2">
        <f>IF(A352&lt;&gt;"line","",IF(D352="quote",IF(Z352=0,"quote only",IF(ABS(Y352-N352)&gt;Settings!$B$2,"amount differs","match")),IF(AA352=0,"invoice only","match")))</f>
        <v/>
      </c>
      <c r="AC352" s="2">
        <f>IF(AND(A352="line",AB352&lt;&gt;"match",COUNTIFS($A$2:$A$500,"coverage",$B$2:$B$500,B352,$C$2:$C$500,C352,$D$2:$D$500,"invoice")&gt;0),MAX($AC$1:AC351)+1,"")</f>
        <v/>
      </c>
      <c r="AD352" s="2">
        <f>IF(A352&lt;&gt;"line","",IF(O352="UNMAPPED","no mapping rule",IF(P352="L","low confidence","")))</f>
        <v/>
      </c>
      <c r="AE352" s="2">
        <f>IF(AD352&lt;&gt;"",MAX($AE$1:AE351)+1,"")</f>
        <v/>
      </c>
      <c r="AF352" s="2">
        <f>IF(A352="coverage",MAX($AF$1:AF351)+1,"")</f>
        <v/>
      </c>
      <c r="AG352" s="2">
        <f>IF(A352="line",IF(COUNTIFS($B$1:B351,B352,$C$1:C351,C352,$A$1:A351,"line")=0,MAX($AG$1:AG351)+1,""),"")</f>
        <v/>
      </c>
    </row>
    <row r="353">
      <c r="W353" s="2">
        <f>IF(A353="line",IF(D353="quote",E353,G353)&amp;"|"&amp;LOWER(TRIM(K353)),"")</f>
        <v/>
      </c>
      <c r="X353" s="2">
        <f>IF(OR(O353="LABOUR",O353="INSTALL"),"LABOUR_ALL",IF(O353="","",O353))</f>
        <v/>
      </c>
      <c r="Y353" s="9">
        <f>IF(AND(A353="line",D353="quote"),SUMIFS($N$2:$N$500,$W$2:$W$500,W353,$D$2:$D$500,"invoice",$A$2:$A$500,"line"),"")</f>
        <v/>
      </c>
      <c r="Z353" s="2">
        <f>IF(AND(A353="line",D353="quote"),COUNTIFS($W$2:$W$500,W353,$D$2:$D$500,"invoice",$A$2:$A$500,"line"),"")</f>
        <v/>
      </c>
      <c r="AA353" s="2">
        <f>IF(AND(A353="line",D353="invoice"),COUNTIFS($W$2:$W$500,W353,$D$2:$D$500,"quote",$A$2:$A$500,"line"),"")</f>
        <v/>
      </c>
      <c r="AB353" s="2">
        <f>IF(A353&lt;&gt;"line","",IF(D353="quote",IF(Z353=0,"quote only",IF(ABS(Y353-N353)&gt;Settings!$B$2,"amount differs","match")),IF(AA353=0,"invoice only","match")))</f>
        <v/>
      </c>
      <c r="AC353" s="2">
        <f>IF(AND(A353="line",AB353&lt;&gt;"match",COUNTIFS($A$2:$A$500,"coverage",$B$2:$B$500,B353,$C$2:$C$500,C353,$D$2:$D$500,"invoice")&gt;0),MAX($AC$1:AC352)+1,"")</f>
        <v/>
      </c>
      <c r="AD353" s="2">
        <f>IF(A353&lt;&gt;"line","",IF(O353="UNMAPPED","no mapping rule",IF(P353="L","low confidence","")))</f>
        <v/>
      </c>
      <c r="AE353" s="2">
        <f>IF(AD353&lt;&gt;"",MAX($AE$1:AE352)+1,"")</f>
        <v/>
      </c>
      <c r="AF353" s="2">
        <f>IF(A353="coverage",MAX($AF$1:AF352)+1,"")</f>
        <v/>
      </c>
      <c r="AG353" s="2">
        <f>IF(A353="line",IF(COUNTIFS($B$1:B352,B353,$C$1:C352,C353,$A$1:A352,"line")=0,MAX($AG$1:AG352)+1,""),"")</f>
        <v/>
      </c>
    </row>
    <row r="354">
      <c r="W354" s="2">
        <f>IF(A354="line",IF(D354="quote",E354,G354)&amp;"|"&amp;LOWER(TRIM(K354)),"")</f>
        <v/>
      </c>
      <c r="X354" s="2">
        <f>IF(OR(O354="LABOUR",O354="INSTALL"),"LABOUR_ALL",IF(O354="","",O354))</f>
        <v/>
      </c>
      <c r="Y354" s="9">
        <f>IF(AND(A354="line",D354="quote"),SUMIFS($N$2:$N$500,$W$2:$W$500,W354,$D$2:$D$500,"invoice",$A$2:$A$500,"line"),"")</f>
        <v/>
      </c>
      <c r="Z354" s="2">
        <f>IF(AND(A354="line",D354="quote"),COUNTIFS($W$2:$W$500,W354,$D$2:$D$500,"invoice",$A$2:$A$500,"line"),"")</f>
        <v/>
      </c>
      <c r="AA354" s="2">
        <f>IF(AND(A354="line",D354="invoice"),COUNTIFS($W$2:$W$500,W354,$D$2:$D$500,"quote",$A$2:$A$500,"line"),"")</f>
        <v/>
      </c>
      <c r="AB354" s="2">
        <f>IF(A354&lt;&gt;"line","",IF(D354="quote",IF(Z354=0,"quote only",IF(ABS(Y354-N354)&gt;Settings!$B$2,"amount differs","match")),IF(AA354=0,"invoice only","match")))</f>
        <v/>
      </c>
      <c r="AC354" s="2">
        <f>IF(AND(A354="line",AB354&lt;&gt;"match",COUNTIFS($A$2:$A$500,"coverage",$B$2:$B$500,B354,$C$2:$C$500,C354,$D$2:$D$500,"invoice")&gt;0),MAX($AC$1:AC353)+1,"")</f>
        <v/>
      </c>
      <c r="AD354" s="2">
        <f>IF(A354&lt;&gt;"line","",IF(O354="UNMAPPED","no mapping rule",IF(P354="L","low confidence","")))</f>
        <v/>
      </c>
      <c r="AE354" s="2">
        <f>IF(AD354&lt;&gt;"",MAX($AE$1:AE353)+1,"")</f>
        <v/>
      </c>
      <c r="AF354" s="2">
        <f>IF(A354="coverage",MAX($AF$1:AF353)+1,"")</f>
        <v/>
      </c>
      <c r="AG354" s="2">
        <f>IF(A354="line",IF(COUNTIFS($B$1:B353,B354,$C$1:C353,C354,$A$1:A353,"line")=0,MAX($AG$1:AG353)+1,""),"")</f>
        <v/>
      </c>
    </row>
    <row r="355">
      <c r="W355" s="2">
        <f>IF(A355="line",IF(D355="quote",E355,G355)&amp;"|"&amp;LOWER(TRIM(K355)),"")</f>
        <v/>
      </c>
      <c r="X355" s="2">
        <f>IF(OR(O355="LABOUR",O355="INSTALL"),"LABOUR_ALL",IF(O355="","",O355))</f>
        <v/>
      </c>
      <c r="Y355" s="9">
        <f>IF(AND(A355="line",D355="quote"),SUMIFS($N$2:$N$500,$W$2:$W$500,W355,$D$2:$D$500,"invoice",$A$2:$A$500,"line"),"")</f>
        <v/>
      </c>
      <c r="Z355" s="2">
        <f>IF(AND(A355="line",D355="quote"),COUNTIFS($W$2:$W$500,W355,$D$2:$D$500,"invoice",$A$2:$A$500,"line"),"")</f>
        <v/>
      </c>
      <c r="AA355" s="2">
        <f>IF(AND(A355="line",D355="invoice"),COUNTIFS($W$2:$W$500,W355,$D$2:$D$500,"quote",$A$2:$A$500,"line"),"")</f>
        <v/>
      </c>
      <c r="AB355" s="2">
        <f>IF(A355&lt;&gt;"line","",IF(D355="quote",IF(Z355=0,"quote only",IF(ABS(Y355-N355)&gt;Settings!$B$2,"amount differs","match")),IF(AA355=0,"invoice only","match")))</f>
        <v/>
      </c>
      <c r="AC355" s="2">
        <f>IF(AND(A355="line",AB355&lt;&gt;"match",COUNTIFS($A$2:$A$500,"coverage",$B$2:$B$500,B355,$C$2:$C$500,C355,$D$2:$D$500,"invoice")&gt;0),MAX($AC$1:AC354)+1,"")</f>
        <v/>
      </c>
      <c r="AD355" s="2">
        <f>IF(A355&lt;&gt;"line","",IF(O355="UNMAPPED","no mapping rule",IF(P355="L","low confidence","")))</f>
        <v/>
      </c>
      <c r="AE355" s="2">
        <f>IF(AD355&lt;&gt;"",MAX($AE$1:AE354)+1,"")</f>
        <v/>
      </c>
      <c r="AF355" s="2">
        <f>IF(A355="coverage",MAX($AF$1:AF354)+1,"")</f>
        <v/>
      </c>
      <c r="AG355" s="2">
        <f>IF(A355="line",IF(COUNTIFS($B$1:B354,B355,$C$1:C354,C355,$A$1:A354,"line")=0,MAX($AG$1:AG354)+1,""),"")</f>
        <v/>
      </c>
    </row>
    <row r="356">
      <c r="W356" s="2">
        <f>IF(A356="line",IF(D356="quote",E356,G356)&amp;"|"&amp;LOWER(TRIM(K356)),"")</f>
        <v/>
      </c>
      <c r="X356" s="2">
        <f>IF(OR(O356="LABOUR",O356="INSTALL"),"LABOUR_ALL",IF(O356="","",O356))</f>
        <v/>
      </c>
      <c r="Y356" s="9">
        <f>IF(AND(A356="line",D356="quote"),SUMIFS($N$2:$N$500,$W$2:$W$500,W356,$D$2:$D$500,"invoice",$A$2:$A$500,"line"),"")</f>
        <v/>
      </c>
      <c r="Z356" s="2">
        <f>IF(AND(A356="line",D356="quote"),COUNTIFS($W$2:$W$500,W356,$D$2:$D$500,"invoice",$A$2:$A$500,"line"),"")</f>
        <v/>
      </c>
      <c r="AA356" s="2">
        <f>IF(AND(A356="line",D356="invoice"),COUNTIFS($W$2:$W$500,W356,$D$2:$D$500,"quote",$A$2:$A$500,"line"),"")</f>
        <v/>
      </c>
      <c r="AB356" s="2">
        <f>IF(A356&lt;&gt;"line","",IF(D356="quote",IF(Z356=0,"quote only",IF(ABS(Y356-N356)&gt;Settings!$B$2,"amount differs","match")),IF(AA356=0,"invoice only","match")))</f>
        <v/>
      </c>
      <c r="AC356" s="2">
        <f>IF(AND(A356="line",AB356&lt;&gt;"match",COUNTIFS($A$2:$A$500,"coverage",$B$2:$B$500,B356,$C$2:$C$500,C356,$D$2:$D$500,"invoice")&gt;0),MAX($AC$1:AC355)+1,"")</f>
        <v/>
      </c>
      <c r="AD356" s="2">
        <f>IF(A356&lt;&gt;"line","",IF(O356="UNMAPPED","no mapping rule",IF(P356="L","low confidence","")))</f>
        <v/>
      </c>
      <c r="AE356" s="2">
        <f>IF(AD356&lt;&gt;"",MAX($AE$1:AE355)+1,"")</f>
        <v/>
      </c>
      <c r="AF356" s="2">
        <f>IF(A356="coverage",MAX($AF$1:AF355)+1,"")</f>
        <v/>
      </c>
      <c r="AG356" s="2">
        <f>IF(A356="line",IF(COUNTIFS($B$1:B355,B356,$C$1:C355,C356,$A$1:A355,"line")=0,MAX($AG$1:AG355)+1,""),"")</f>
        <v/>
      </c>
    </row>
    <row r="357">
      <c r="W357" s="2">
        <f>IF(A357="line",IF(D357="quote",E357,G357)&amp;"|"&amp;LOWER(TRIM(K357)),"")</f>
        <v/>
      </c>
      <c r="X357" s="2">
        <f>IF(OR(O357="LABOUR",O357="INSTALL"),"LABOUR_ALL",IF(O357="","",O357))</f>
        <v/>
      </c>
      <c r="Y357" s="9">
        <f>IF(AND(A357="line",D357="quote"),SUMIFS($N$2:$N$500,$W$2:$W$500,W357,$D$2:$D$500,"invoice",$A$2:$A$500,"line"),"")</f>
        <v/>
      </c>
      <c r="Z357" s="2">
        <f>IF(AND(A357="line",D357="quote"),COUNTIFS($W$2:$W$500,W357,$D$2:$D$500,"invoice",$A$2:$A$500,"line"),"")</f>
        <v/>
      </c>
      <c r="AA357" s="2">
        <f>IF(AND(A357="line",D357="invoice"),COUNTIFS($W$2:$W$500,W357,$D$2:$D$500,"quote",$A$2:$A$500,"line"),"")</f>
        <v/>
      </c>
      <c r="AB357" s="2">
        <f>IF(A357&lt;&gt;"line","",IF(D357="quote",IF(Z357=0,"quote only",IF(ABS(Y357-N357)&gt;Settings!$B$2,"amount differs","match")),IF(AA357=0,"invoice only","match")))</f>
        <v/>
      </c>
      <c r="AC357" s="2">
        <f>IF(AND(A357="line",AB357&lt;&gt;"match",COUNTIFS($A$2:$A$500,"coverage",$B$2:$B$500,B357,$C$2:$C$500,C357,$D$2:$D$500,"invoice")&gt;0),MAX($AC$1:AC356)+1,"")</f>
        <v/>
      </c>
      <c r="AD357" s="2">
        <f>IF(A357&lt;&gt;"line","",IF(O357="UNMAPPED","no mapping rule",IF(P357="L","low confidence","")))</f>
        <v/>
      </c>
      <c r="AE357" s="2">
        <f>IF(AD357&lt;&gt;"",MAX($AE$1:AE356)+1,"")</f>
        <v/>
      </c>
      <c r="AF357" s="2">
        <f>IF(A357="coverage",MAX($AF$1:AF356)+1,"")</f>
        <v/>
      </c>
      <c r="AG357" s="2">
        <f>IF(A357="line",IF(COUNTIFS($B$1:B356,B357,$C$1:C356,C357,$A$1:A356,"line")=0,MAX($AG$1:AG356)+1,""),"")</f>
        <v/>
      </c>
    </row>
    <row r="358">
      <c r="W358" s="2">
        <f>IF(A358="line",IF(D358="quote",E358,G358)&amp;"|"&amp;LOWER(TRIM(K358)),"")</f>
        <v/>
      </c>
      <c r="X358" s="2">
        <f>IF(OR(O358="LABOUR",O358="INSTALL"),"LABOUR_ALL",IF(O358="","",O358))</f>
        <v/>
      </c>
      <c r="Y358" s="9">
        <f>IF(AND(A358="line",D358="quote"),SUMIFS($N$2:$N$500,$W$2:$W$500,W358,$D$2:$D$500,"invoice",$A$2:$A$500,"line"),"")</f>
        <v/>
      </c>
      <c r="Z358" s="2">
        <f>IF(AND(A358="line",D358="quote"),COUNTIFS($W$2:$W$500,W358,$D$2:$D$500,"invoice",$A$2:$A$500,"line"),"")</f>
        <v/>
      </c>
      <c r="AA358" s="2">
        <f>IF(AND(A358="line",D358="invoice"),COUNTIFS($W$2:$W$500,W358,$D$2:$D$500,"quote",$A$2:$A$500,"line"),"")</f>
        <v/>
      </c>
      <c r="AB358" s="2">
        <f>IF(A358&lt;&gt;"line","",IF(D358="quote",IF(Z358=0,"quote only",IF(ABS(Y358-N358)&gt;Settings!$B$2,"amount differs","match")),IF(AA358=0,"invoice only","match")))</f>
        <v/>
      </c>
      <c r="AC358" s="2">
        <f>IF(AND(A358="line",AB358&lt;&gt;"match",COUNTIFS($A$2:$A$500,"coverage",$B$2:$B$500,B358,$C$2:$C$500,C358,$D$2:$D$500,"invoice")&gt;0),MAX($AC$1:AC357)+1,"")</f>
        <v/>
      </c>
      <c r="AD358" s="2">
        <f>IF(A358&lt;&gt;"line","",IF(O358="UNMAPPED","no mapping rule",IF(P358="L","low confidence","")))</f>
        <v/>
      </c>
      <c r="AE358" s="2">
        <f>IF(AD358&lt;&gt;"",MAX($AE$1:AE357)+1,"")</f>
        <v/>
      </c>
      <c r="AF358" s="2">
        <f>IF(A358="coverage",MAX($AF$1:AF357)+1,"")</f>
        <v/>
      </c>
      <c r="AG358" s="2">
        <f>IF(A358="line",IF(COUNTIFS($B$1:B357,B358,$C$1:C357,C358,$A$1:A357,"line")=0,MAX($AG$1:AG357)+1,""),"")</f>
        <v/>
      </c>
    </row>
    <row r="359">
      <c r="W359" s="2">
        <f>IF(A359="line",IF(D359="quote",E359,G359)&amp;"|"&amp;LOWER(TRIM(K359)),"")</f>
        <v/>
      </c>
      <c r="X359" s="2">
        <f>IF(OR(O359="LABOUR",O359="INSTALL"),"LABOUR_ALL",IF(O359="","",O359))</f>
        <v/>
      </c>
      <c r="Y359" s="9">
        <f>IF(AND(A359="line",D359="quote"),SUMIFS($N$2:$N$500,$W$2:$W$500,W359,$D$2:$D$500,"invoice",$A$2:$A$500,"line"),"")</f>
        <v/>
      </c>
      <c r="Z359" s="2">
        <f>IF(AND(A359="line",D359="quote"),COUNTIFS($W$2:$W$500,W359,$D$2:$D$500,"invoice",$A$2:$A$500,"line"),"")</f>
        <v/>
      </c>
      <c r="AA359" s="2">
        <f>IF(AND(A359="line",D359="invoice"),COUNTIFS($W$2:$W$500,W359,$D$2:$D$500,"quote",$A$2:$A$500,"line"),"")</f>
        <v/>
      </c>
      <c r="AB359" s="2">
        <f>IF(A359&lt;&gt;"line","",IF(D359="quote",IF(Z359=0,"quote only",IF(ABS(Y359-N359)&gt;Settings!$B$2,"amount differs","match")),IF(AA359=0,"invoice only","match")))</f>
        <v/>
      </c>
      <c r="AC359" s="2">
        <f>IF(AND(A359="line",AB359&lt;&gt;"match",COUNTIFS($A$2:$A$500,"coverage",$B$2:$B$500,B359,$C$2:$C$500,C359,$D$2:$D$500,"invoice")&gt;0),MAX($AC$1:AC358)+1,"")</f>
        <v/>
      </c>
      <c r="AD359" s="2">
        <f>IF(A359&lt;&gt;"line","",IF(O359="UNMAPPED","no mapping rule",IF(P359="L","low confidence","")))</f>
        <v/>
      </c>
      <c r="AE359" s="2">
        <f>IF(AD359&lt;&gt;"",MAX($AE$1:AE358)+1,"")</f>
        <v/>
      </c>
      <c r="AF359" s="2">
        <f>IF(A359="coverage",MAX($AF$1:AF358)+1,"")</f>
        <v/>
      </c>
      <c r="AG359" s="2">
        <f>IF(A359="line",IF(COUNTIFS($B$1:B358,B359,$C$1:C358,C359,$A$1:A358,"line")=0,MAX($AG$1:AG358)+1,""),"")</f>
        <v/>
      </c>
    </row>
    <row r="360">
      <c r="W360" s="2">
        <f>IF(A360="line",IF(D360="quote",E360,G360)&amp;"|"&amp;LOWER(TRIM(K360)),"")</f>
        <v/>
      </c>
      <c r="X360" s="2">
        <f>IF(OR(O360="LABOUR",O360="INSTALL"),"LABOUR_ALL",IF(O360="","",O360))</f>
        <v/>
      </c>
      <c r="Y360" s="9">
        <f>IF(AND(A360="line",D360="quote"),SUMIFS($N$2:$N$500,$W$2:$W$500,W360,$D$2:$D$500,"invoice",$A$2:$A$500,"line"),"")</f>
        <v/>
      </c>
      <c r="Z360" s="2">
        <f>IF(AND(A360="line",D360="quote"),COUNTIFS($W$2:$W$500,W360,$D$2:$D$500,"invoice",$A$2:$A$500,"line"),"")</f>
        <v/>
      </c>
      <c r="AA360" s="2">
        <f>IF(AND(A360="line",D360="invoice"),COUNTIFS($W$2:$W$500,W360,$D$2:$D$500,"quote",$A$2:$A$500,"line"),"")</f>
        <v/>
      </c>
      <c r="AB360" s="2">
        <f>IF(A360&lt;&gt;"line","",IF(D360="quote",IF(Z360=0,"quote only",IF(ABS(Y360-N360)&gt;Settings!$B$2,"amount differs","match")),IF(AA360=0,"invoice only","match")))</f>
        <v/>
      </c>
      <c r="AC360" s="2">
        <f>IF(AND(A360="line",AB360&lt;&gt;"match",COUNTIFS($A$2:$A$500,"coverage",$B$2:$B$500,B360,$C$2:$C$500,C360,$D$2:$D$500,"invoice")&gt;0),MAX($AC$1:AC359)+1,"")</f>
        <v/>
      </c>
      <c r="AD360" s="2">
        <f>IF(A360&lt;&gt;"line","",IF(O360="UNMAPPED","no mapping rule",IF(P360="L","low confidence","")))</f>
        <v/>
      </c>
      <c r="AE360" s="2">
        <f>IF(AD360&lt;&gt;"",MAX($AE$1:AE359)+1,"")</f>
        <v/>
      </c>
      <c r="AF360" s="2">
        <f>IF(A360="coverage",MAX($AF$1:AF359)+1,"")</f>
        <v/>
      </c>
      <c r="AG360" s="2">
        <f>IF(A360="line",IF(COUNTIFS($B$1:B359,B360,$C$1:C359,C360,$A$1:A359,"line")=0,MAX($AG$1:AG359)+1,""),"")</f>
        <v/>
      </c>
    </row>
    <row r="361">
      <c r="W361" s="2">
        <f>IF(A361="line",IF(D361="quote",E361,G361)&amp;"|"&amp;LOWER(TRIM(K361)),"")</f>
        <v/>
      </c>
      <c r="X361" s="2">
        <f>IF(OR(O361="LABOUR",O361="INSTALL"),"LABOUR_ALL",IF(O361="","",O361))</f>
        <v/>
      </c>
      <c r="Y361" s="9">
        <f>IF(AND(A361="line",D361="quote"),SUMIFS($N$2:$N$500,$W$2:$W$500,W361,$D$2:$D$500,"invoice",$A$2:$A$500,"line"),"")</f>
        <v/>
      </c>
      <c r="Z361" s="2">
        <f>IF(AND(A361="line",D361="quote"),COUNTIFS($W$2:$W$500,W361,$D$2:$D$500,"invoice",$A$2:$A$500,"line"),"")</f>
        <v/>
      </c>
      <c r="AA361" s="2">
        <f>IF(AND(A361="line",D361="invoice"),COUNTIFS($W$2:$W$500,W361,$D$2:$D$500,"quote",$A$2:$A$500,"line"),"")</f>
        <v/>
      </c>
      <c r="AB361" s="2">
        <f>IF(A361&lt;&gt;"line","",IF(D361="quote",IF(Z361=0,"quote only",IF(ABS(Y361-N361)&gt;Settings!$B$2,"amount differs","match")),IF(AA361=0,"invoice only","match")))</f>
        <v/>
      </c>
      <c r="AC361" s="2">
        <f>IF(AND(A361="line",AB361&lt;&gt;"match",COUNTIFS($A$2:$A$500,"coverage",$B$2:$B$500,B361,$C$2:$C$500,C361,$D$2:$D$500,"invoice")&gt;0),MAX($AC$1:AC360)+1,"")</f>
        <v/>
      </c>
      <c r="AD361" s="2">
        <f>IF(A361&lt;&gt;"line","",IF(O361="UNMAPPED","no mapping rule",IF(P361="L","low confidence","")))</f>
        <v/>
      </c>
      <c r="AE361" s="2">
        <f>IF(AD361&lt;&gt;"",MAX($AE$1:AE360)+1,"")</f>
        <v/>
      </c>
      <c r="AF361" s="2">
        <f>IF(A361="coverage",MAX($AF$1:AF360)+1,"")</f>
        <v/>
      </c>
      <c r="AG361" s="2">
        <f>IF(A361="line",IF(COUNTIFS($B$1:B360,B361,$C$1:C360,C361,$A$1:A360,"line")=0,MAX($AG$1:AG360)+1,""),"")</f>
        <v/>
      </c>
    </row>
    <row r="362">
      <c r="W362" s="2">
        <f>IF(A362="line",IF(D362="quote",E362,G362)&amp;"|"&amp;LOWER(TRIM(K362)),"")</f>
        <v/>
      </c>
      <c r="X362" s="2">
        <f>IF(OR(O362="LABOUR",O362="INSTALL"),"LABOUR_ALL",IF(O362="","",O362))</f>
        <v/>
      </c>
      <c r="Y362" s="9">
        <f>IF(AND(A362="line",D362="quote"),SUMIFS($N$2:$N$500,$W$2:$W$500,W362,$D$2:$D$500,"invoice",$A$2:$A$500,"line"),"")</f>
        <v/>
      </c>
      <c r="Z362" s="2">
        <f>IF(AND(A362="line",D362="quote"),COUNTIFS($W$2:$W$500,W362,$D$2:$D$500,"invoice",$A$2:$A$500,"line"),"")</f>
        <v/>
      </c>
      <c r="AA362" s="2">
        <f>IF(AND(A362="line",D362="invoice"),COUNTIFS($W$2:$W$500,W362,$D$2:$D$500,"quote",$A$2:$A$500,"line"),"")</f>
        <v/>
      </c>
      <c r="AB362" s="2">
        <f>IF(A362&lt;&gt;"line","",IF(D362="quote",IF(Z362=0,"quote only",IF(ABS(Y362-N362)&gt;Settings!$B$2,"amount differs","match")),IF(AA362=0,"invoice only","match")))</f>
        <v/>
      </c>
      <c r="AC362" s="2">
        <f>IF(AND(A362="line",AB362&lt;&gt;"match",COUNTIFS($A$2:$A$500,"coverage",$B$2:$B$500,B362,$C$2:$C$500,C362,$D$2:$D$500,"invoice")&gt;0),MAX($AC$1:AC361)+1,"")</f>
        <v/>
      </c>
      <c r="AD362" s="2">
        <f>IF(A362&lt;&gt;"line","",IF(O362="UNMAPPED","no mapping rule",IF(P362="L","low confidence","")))</f>
        <v/>
      </c>
      <c r="AE362" s="2">
        <f>IF(AD362&lt;&gt;"",MAX($AE$1:AE361)+1,"")</f>
        <v/>
      </c>
      <c r="AF362" s="2">
        <f>IF(A362="coverage",MAX($AF$1:AF361)+1,"")</f>
        <v/>
      </c>
      <c r="AG362" s="2">
        <f>IF(A362="line",IF(COUNTIFS($B$1:B361,B362,$C$1:C361,C362,$A$1:A361,"line")=0,MAX($AG$1:AG361)+1,""),"")</f>
        <v/>
      </c>
    </row>
    <row r="363">
      <c r="W363" s="2">
        <f>IF(A363="line",IF(D363="quote",E363,G363)&amp;"|"&amp;LOWER(TRIM(K363)),"")</f>
        <v/>
      </c>
      <c r="X363" s="2">
        <f>IF(OR(O363="LABOUR",O363="INSTALL"),"LABOUR_ALL",IF(O363="","",O363))</f>
        <v/>
      </c>
      <c r="Y363" s="9">
        <f>IF(AND(A363="line",D363="quote"),SUMIFS($N$2:$N$500,$W$2:$W$500,W363,$D$2:$D$500,"invoice",$A$2:$A$500,"line"),"")</f>
        <v/>
      </c>
      <c r="Z363" s="2">
        <f>IF(AND(A363="line",D363="quote"),COUNTIFS($W$2:$W$500,W363,$D$2:$D$500,"invoice",$A$2:$A$500,"line"),"")</f>
        <v/>
      </c>
      <c r="AA363" s="2">
        <f>IF(AND(A363="line",D363="invoice"),COUNTIFS($W$2:$W$500,W363,$D$2:$D$500,"quote",$A$2:$A$500,"line"),"")</f>
        <v/>
      </c>
      <c r="AB363" s="2">
        <f>IF(A363&lt;&gt;"line","",IF(D363="quote",IF(Z363=0,"quote only",IF(ABS(Y363-N363)&gt;Settings!$B$2,"amount differs","match")),IF(AA363=0,"invoice only","match")))</f>
        <v/>
      </c>
      <c r="AC363" s="2">
        <f>IF(AND(A363="line",AB363&lt;&gt;"match",COUNTIFS($A$2:$A$500,"coverage",$B$2:$B$500,B363,$C$2:$C$500,C363,$D$2:$D$500,"invoice")&gt;0),MAX($AC$1:AC362)+1,"")</f>
        <v/>
      </c>
      <c r="AD363" s="2">
        <f>IF(A363&lt;&gt;"line","",IF(O363="UNMAPPED","no mapping rule",IF(P363="L","low confidence","")))</f>
        <v/>
      </c>
      <c r="AE363" s="2">
        <f>IF(AD363&lt;&gt;"",MAX($AE$1:AE362)+1,"")</f>
        <v/>
      </c>
      <c r="AF363" s="2">
        <f>IF(A363="coverage",MAX($AF$1:AF362)+1,"")</f>
        <v/>
      </c>
      <c r="AG363" s="2">
        <f>IF(A363="line",IF(COUNTIFS($B$1:B362,B363,$C$1:C362,C363,$A$1:A362,"line")=0,MAX($AG$1:AG362)+1,""),"")</f>
        <v/>
      </c>
    </row>
    <row r="364">
      <c r="W364" s="2">
        <f>IF(A364="line",IF(D364="quote",E364,G364)&amp;"|"&amp;LOWER(TRIM(K364)),"")</f>
        <v/>
      </c>
      <c r="X364" s="2">
        <f>IF(OR(O364="LABOUR",O364="INSTALL"),"LABOUR_ALL",IF(O364="","",O364))</f>
        <v/>
      </c>
      <c r="Y364" s="9">
        <f>IF(AND(A364="line",D364="quote"),SUMIFS($N$2:$N$500,$W$2:$W$500,W364,$D$2:$D$500,"invoice",$A$2:$A$500,"line"),"")</f>
        <v/>
      </c>
      <c r="Z364" s="2">
        <f>IF(AND(A364="line",D364="quote"),COUNTIFS($W$2:$W$500,W364,$D$2:$D$500,"invoice",$A$2:$A$500,"line"),"")</f>
        <v/>
      </c>
      <c r="AA364" s="2">
        <f>IF(AND(A364="line",D364="invoice"),COUNTIFS($W$2:$W$500,W364,$D$2:$D$500,"quote",$A$2:$A$500,"line"),"")</f>
        <v/>
      </c>
      <c r="AB364" s="2">
        <f>IF(A364&lt;&gt;"line","",IF(D364="quote",IF(Z364=0,"quote only",IF(ABS(Y364-N364)&gt;Settings!$B$2,"amount differs","match")),IF(AA364=0,"invoice only","match")))</f>
        <v/>
      </c>
      <c r="AC364" s="2">
        <f>IF(AND(A364="line",AB364&lt;&gt;"match",COUNTIFS($A$2:$A$500,"coverage",$B$2:$B$500,B364,$C$2:$C$500,C364,$D$2:$D$500,"invoice")&gt;0),MAX($AC$1:AC363)+1,"")</f>
        <v/>
      </c>
      <c r="AD364" s="2">
        <f>IF(A364&lt;&gt;"line","",IF(O364="UNMAPPED","no mapping rule",IF(P364="L","low confidence","")))</f>
        <v/>
      </c>
      <c r="AE364" s="2">
        <f>IF(AD364&lt;&gt;"",MAX($AE$1:AE363)+1,"")</f>
        <v/>
      </c>
      <c r="AF364" s="2">
        <f>IF(A364="coverage",MAX($AF$1:AF363)+1,"")</f>
        <v/>
      </c>
      <c r="AG364" s="2">
        <f>IF(A364="line",IF(COUNTIFS($B$1:B363,B364,$C$1:C363,C364,$A$1:A363,"line")=0,MAX($AG$1:AG363)+1,""),"")</f>
        <v/>
      </c>
    </row>
    <row r="365">
      <c r="W365" s="2">
        <f>IF(A365="line",IF(D365="quote",E365,G365)&amp;"|"&amp;LOWER(TRIM(K365)),"")</f>
        <v/>
      </c>
      <c r="X365" s="2">
        <f>IF(OR(O365="LABOUR",O365="INSTALL"),"LABOUR_ALL",IF(O365="","",O365))</f>
        <v/>
      </c>
      <c r="Y365" s="9">
        <f>IF(AND(A365="line",D365="quote"),SUMIFS($N$2:$N$500,$W$2:$W$500,W365,$D$2:$D$500,"invoice",$A$2:$A$500,"line"),"")</f>
        <v/>
      </c>
      <c r="Z365" s="2">
        <f>IF(AND(A365="line",D365="quote"),COUNTIFS($W$2:$W$500,W365,$D$2:$D$500,"invoice",$A$2:$A$500,"line"),"")</f>
        <v/>
      </c>
      <c r="AA365" s="2">
        <f>IF(AND(A365="line",D365="invoice"),COUNTIFS($W$2:$W$500,W365,$D$2:$D$500,"quote",$A$2:$A$500,"line"),"")</f>
        <v/>
      </c>
      <c r="AB365" s="2">
        <f>IF(A365&lt;&gt;"line","",IF(D365="quote",IF(Z365=0,"quote only",IF(ABS(Y365-N365)&gt;Settings!$B$2,"amount differs","match")),IF(AA365=0,"invoice only","match")))</f>
        <v/>
      </c>
      <c r="AC365" s="2">
        <f>IF(AND(A365="line",AB365&lt;&gt;"match",COUNTIFS($A$2:$A$500,"coverage",$B$2:$B$500,B365,$C$2:$C$500,C365,$D$2:$D$500,"invoice")&gt;0),MAX($AC$1:AC364)+1,"")</f>
        <v/>
      </c>
      <c r="AD365" s="2">
        <f>IF(A365&lt;&gt;"line","",IF(O365="UNMAPPED","no mapping rule",IF(P365="L","low confidence","")))</f>
        <v/>
      </c>
      <c r="AE365" s="2">
        <f>IF(AD365&lt;&gt;"",MAX($AE$1:AE364)+1,"")</f>
        <v/>
      </c>
      <c r="AF365" s="2">
        <f>IF(A365="coverage",MAX($AF$1:AF364)+1,"")</f>
        <v/>
      </c>
      <c r="AG365" s="2">
        <f>IF(A365="line",IF(COUNTIFS($B$1:B364,B365,$C$1:C364,C365,$A$1:A364,"line")=0,MAX($AG$1:AG364)+1,""),"")</f>
        <v/>
      </c>
    </row>
    <row r="366">
      <c r="W366" s="2">
        <f>IF(A366="line",IF(D366="quote",E366,G366)&amp;"|"&amp;LOWER(TRIM(K366)),"")</f>
        <v/>
      </c>
      <c r="X366" s="2">
        <f>IF(OR(O366="LABOUR",O366="INSTALL"),"LABOUR_ALL",IF(O366="","",O366))</f>
        <v/>
      </c>
      <c r="Y366" s="9">
        <f>IF(AND(A366="line",D366="quote"),SUMIFS($N$2:$N$500,$W$2:$W$500,W366,$D$2:$D$500,"invoice",$A$2:$A$500,"line"),"")</f>
        <v/>
      </c>
      <c r="Z366" s="2">
        <f>IF(AND(A366="line",D366="quote"),COUNTIFS($W$2:$W$500,W366,$D$2:$D$500,"invoice",$A$2:$A$500,"line"),"")</f>
        <v/>
      </c>
      <c r="AA366" s="2">
        <f>IF(AND(A366="line",D366="invoice"),COUNTIFS($W$2:$W$500,W366,$D$2:$D$500,"quote",$A$2:$A$500,"line"),"")</f>
        <v/>
      </c>
      <c r="AB366" s="2">
        <f>IF(A366&lt;&gt;"line","",IF(D366="quote",IF(Z366=0,"quote only",IF(ABS(Y366-N366)&gt;Settings!$B$2,"amount differs","match")),IF(AA366=0,"invoice only","match")))</f>
        <v/>
      </c>
      <c r="AC366" s="2">
        <f>IF(AND(A366="line",AB366&lt;&gt;"match",COUNTIFS($A$2:$A$500,"coverage",$B$2:$B$500,B366,$C$2:$C$500,C366,$D$2:$D$500,"invoice")&gt;0),MAX($AC$1:AC365)+1,"")</f>
        <v/>
      </c>
      <c r="AD366" s="2">
        <f>IF(A366&lt;&gt;"line","",IF(O366="UNMAPPED","no mapping rule",IF(P366="L","low confidence","")))</f>
        <v/>
      </c>
      <c r="AE366" s="2">
        <f>IF(AD366&lt;&gt;"",MAX($AE$1:AE365)+1,"")</f>
        <v/>
      </c>
      <c r="AF366" s="2">
        <f>IF(A366="coverage",MAX($AF$1:AF365)+1,"")</f>
        <v/>
      </c>
      <c r="AG366" s="2">
        <f>IF(A366="line",IF(COUNTIFS($B$1:B365,B366,$C$1:C365,C366,$A$1:A365,"line")=0,MAX($AG$1:AG365)+1,""),"")</f>
        <v/>
      </c>
    </row>
    <row r="367">
      <c r="W367" s="2">
        <f>IF(A367="line",IF(D367="quote",E367,G367)&amp;"|"&amp;LOWER(TRIM(K367)),"")</f>
        <v/>
      </c>
      <c r="X367" s="2">
        <f>IF(OR(O367="LABOUR",O367="INSTALL"),"LABOUR_ALL",IF(O367="","",O367))</f>
        <v/>
      </c>
      <c r="Y367" s="9">
        <f>IF(AND(A367="line",D367="quote"),SUMIFS($N$2:$N$500,$W$2:$W$500,W367,$D$2:$D$500,"invoice",$A$2:$A$500,"line"),"")</f>
        <v/>
      </c>
      <c r="Z367" s="2">
        <f>IF(AND(A367="line",D367="quote"),COUNTIFS($W$2:$W$500,W367,$D$2:$D$500,"invoice",$A$2:$A$500,"line"),"")</f>
        <v/>
      </c>
      <c r="AA367" s="2">
        <f>IF(AND(A367="line",D367="invoice"),COUNTIFS($W$2:$W$500,W367,$D$2:$D$500,"quote",$A$2:$A$500,"line"),"")</f>
        <v/>
      </c>
      <c r="AB367" s="2">
        <f>IF(A367&lt;&gt;"line","",IF(D367="quote",IF(Z367=0,"quote only",IF(ABS(Y367-N367)&gt;Settings!$B$2,"amount differs","match")),IF(AA367=0,"invoice only","match")))</f>
        <v/>
      </c>
      <c r="AC367" s="2">
        <f>IF(AND(A367="line",AB367&lt;&gt;"match",COUNTIFS($A$2:$A$500,"coverage",$B$2:$B$500,B367,$C$2:$C$500,C367,$D$2:$D$500,"invoice")&gt;0),MAX($AC$1:AC366)+1,"")</f>
        <v/>
      </c>
      <c r="AD367" s="2">
        <f>IF(A367&lt;&gt;"line","",IF(O367="UNMAPPED","no mapping rule",IF(P367="L","low confidence","")))</f>
        <v/>
      </c>
      <c r="AE367" s="2">
        <f>IF(AD367&lt;&gt;"",MAX($AE$1:AE366)+1,"")</f>
        <v/>
      </c>
      <c r="AF367" s="2">
        <f>IF(A367="coverage",MAX($AF$1:AF366)+1,"")</f>
        <v/>
      </c>
      <c r="AG367" s="2">
        <f>IF(A367="line",IF(COUNTIFS($B$1:B366,B367,$C$1:C366,C367,$A$1:A366,"line")=0,MAX($AG$1:AG366)+1,""),"")</f>
        <v/>
      </c>
    </row>
    <row r="368">
      <c r="W368" s="2">
        <f>IF(A368="line",IF(D368="quote",E368,G368)&amp;"|"&amp;LOWER(TRIM(K368)),"")</f>
        <v/>
      </c>
      <c r="X368" s="2">
        <f>IF(OR(O368="LABOUR",O368="INSTALL"),"LABOUR_ALL",IF(O368="","",O368))</f>
        <v/>
      </c>
      <c r="Y368" s="9">
        <f>IF(AND(A368="line",D368="quote"),SUMIFS($N$2:$N$500,$W$2:$W$500,W368,$D$2:$D$500,"invoice",$A$2:$A$500,"line"),"")</f>
        <v/>
      </c>
      <c r="Z368" s="2">
        <f>IF(AND(A368="line",D368="quote"),COUNTIFS($W$2:$W$500,W368,$D$2:$D$500,"invoice",$A$2:$A$500,"line"),"")</f>
        <v/>
      </c>
      <c r="AA368" s="2">
        <f>IF(AND(A368="line",D368="invoice"),COUNTIFS($W$2:$W$500,W368,$D$2:$D$500,"quote",$A$2:$A$500,"line"),"")</f>
        <v/>
      </c>
      <c r="AB368" s="2">
        <f>IF(A368&lt;&gt;"line","",IF(D368="quote",IF(Z368=0,"quote only",IF(ABS(Y368-N368)&gt;Settings!$B$2,"amount differs","match")),IF(AA368=0,"invoice only","match")))</f>
        <v/>
      </c>
      <c r="AC368" s="2">
        <f>IF(AND(A368="line",AB368&lt;&gt;"match",COUNTIFS($A$2:$A$500,"coverage",$B$2:$B$500,B368,$C$2:$C$500,C368,$D$2:$D$500,"invoice")&gt;0),MAX($AC$1:AC367)+1,"")</f>
        <v/>
      </c>
      <c r="AD368" s="2">
        <f>IF(A368&lt;&gt;"line","",IF(O368="UNMAPPED","no mapping rule",IF(P368="L","low confidence","")))</f>
        <v/>
      </c>
      <c r="AE368" s="2">
        <f>IF(AD368&lt;&gt;"",MAX($AE$1:AE367)+1,"")</f>
        <v/>
      </c>
      <c r="AF368" s="2">
        <f>IF(A368="coverage",MAX($AF$1:AF367)+1,"")</f>
        <v/>
      </c>
      <c r="AG368" s="2">
        <f>IF(A368="line",IF(COUNTIFS($B$1:B367,B368,$C$1:C367,C368,$A$1:A367,"line")=0,MAX($AG$1:AG367)+1,""),"")</f>
        <v/>
      </c>
    </row>
    <row r="369">
      <c r="W369" s="2">
        <f>IF(A369="line",IF(D369="quote",E369,G369)&amp;"|"&amp;LOWER(TRIM(K369)),"")</f>
        <v/>
      </c>
      <c r="X369" s="2">
        <f>IF(OR(O369="LABOUR",O369="INSTALL"),"LABOUR_ALL",IF(O369="","",O369))</f>
        <v/>
      </c>
      <c r="Y369" s="9">
        <f>IF(AND(A369="line",D369="quote"),SUMIFS($N$2:$N$500,$W$2:$W$500,W369,$D$2:$D$500,"invoice",$A$2:$A$500,"line"),"")</f>
        <v/>
      </c>
      <c r="Z369" s="2">
        <f>IF(AND(A369="line",D369="quote"),COUNTIFS($W$2:$W$500,W369,$D$2:$D$500,"invoice",$A$2:$A$500,"line"),"")</f>
        <v/>
      </c>
      <c r="AA369" s="2">
        <f>IF(AND(A369="line",D369="invoice"),COUNTIFS($W$2:$W$500,W369,$D$2:$D$500,"quote",$A$2:$A$500,"line"),"")</f>
        <v/>
      </c>
      <c r="AB369" s="2">
        <f>IF(A369&lt;&gt;"line","",IF(D369="quote",IF(Z369=0,"quote only",IF(ABS(Y369-N369)&gt;Settings!$B$2,"amount differs","match")),IF(AA369=0,"invoice only","match")))</f>
        <v/>
      </c>
      <c r="AC369" s="2">
        <f>IF(AND(A369="line",AB369&lt;&gt;"match",COUNTIFS($A$2:$A$500,"coverage",$B$2:$B$500,B369,$C$2:$C$500,C369,$D$2:$D$500,"invoice")&gt;0),MAX($AC$1:AC368)+1,"")</f>
        <v/>
      </c>
      <c r="AD369" s="2">
        <f>IF(A369&lt;&gt;"line","",IF(O369="UNMAPPED","no mapping rule",IF(P369="L","low confidence","")))</f>
        <v/>
      </c>
      <c r="AE369" s="2">
        <f>IF(AD369&lt;&gt;"",MAX($AE$1:AE368)+1,"")</f>
        <v/>
      </c>
      <c r="AF369" s="2">
        <f>IF(A369="coverage",MAX($AF$1:AF368)+1,"")</f>
        <v/>
      </c>
      <c r="AG369" s="2">
        <f>IF(A369="line",IF(COUNTIFS($B$1:B368,B369,$C$1:C368,C369,$A$1:A368,"line")=0,MAX($AG$1:AG368)+1,""),"")</f>
        <v/>
      </c>
    </row>
    <row r="370">
      <c r="W370" s="2">
        <f>IF(A370="line",IF(D370="quote",E370,G370)&amp;"|"&amp;LOWER(TRIM(K370)),"")</f>
        <v/>
      </c>
      <c r="X370" s="2">
        <f>IF(OR(O370="LABOUR",O370="INSTALL"),"LABOUR_ALL",IF(O370="","",O370))</f>
        <v/>
      </c>
      <c r="Y370" s="9">
        <f>IF(AND(A370="line",D370="quote"),SUMIFS($N$2:$N$500,$W$2:$W$500,W370,$D$2:$D$500,"invoice",$A$2:$A$500,"line"),"")</f>
        <v/>
      </c>
      <c r="Z370" s="2">
        <f>IF(AND(A370="line",D370="quote"),COUNTIFS($W$2:$W$500,W370,$D$2:$D$500,"invoice",$A$2:$A$500,"line"),"")</f>
        <v/>
      </c>
      <c r="AA370" s="2">
        <f>IF(AND(A370="line",D370="invoice"),COUNTIFS($W$2:$W$500,W370,$D$2:$D$500,"quote",$A$2:$A$500,"line"),"")</f>
        <v/>
      </c>
      <c r="AB370" s="2">
        <f>IF(A370&lt;&gt;"line","",IF(D370="quote",IF(Z370=0,"quote only",IF(ABS(Y370-N370)&gt;Settings!$B$2,"amount differs","match")),IF(AA370=0,"invoice only","match")))</f>
        <v/>
      </c>
      <c r="AC370" s="2">
        <f>IF(AND(A370="line",AB370&lt;&gt;"match",COUNTIFS($A$2:$A$500,"coverage",$B$2:$B$500,B370,$C$2:$C$500,C370,$D$2:$D$500,"invoice")&gt;0),MAX($AC$1:AC369)+1,"")</f>
        <v/>
      </c>
      <c r="AD370" s="2">
        <f>IF(A370&lt;&gt;"line","",IF(O370="UNMAPPED","no mapping rule",IF(P370="L","low confidence","")))</f>
        <v/>
      </c>
      <c r="AE370" s="2">
        <f>IF(AD370&lt;&gt;"",MAX($AE$1:AE369)+1,"")</f>
        <v/>
      </c>
      <c r="AF370" s="2">
        <f>IF(A370="coverage",MAX($AF$1:AF369)+1,"")</f>
        <v/>
      </c>
      <c r="AG370" s="2">
        <f>IF(A370="line",IF(COUNTIFS($B$1:B369,B370,$C$1:C369,C370,$A$1:A369,"line")=0,MAX($AG$1:AG369)+1,""),"")</f>
        <v/>
      </c>
    </row>
    <row r="371">
      <c r="W371" s="2">
        <f>IF(A371="line",IF(D371="quote",E371,G371)&amp;"|"&amp;LOWER(TRIM(K371)),"")</f>
        <v/>
      </c>
      <c r="X371" s="2">
        <f>IF(OR(O371="LABOUR",O371="INSTALL"),"LABOUR_ALL",IF(O371="","",O371))</f>
        <v/>
      </c>
      <c r="Y371" s="9">
        <f>IF(AND(A371="line",D371="quote"),SUMIFS($N$2:$N$500,$W$2:$W$500,W371,$D$2:$D$500,"invoice",$A$2:$A$500,"line"),"")</f>
        <v/>
      </c>
      <c r="Z371" s="2">
        <f>IF(AND(A371="line",D371="quote"),COUNTIFS($W$2:$W$500,W371,$D$2:$D$500,"invoice",$A$2:$A$500,"line"),"")</f>
        <v/>
      </c>
      <c r="AA371" s="2">
        <f>IF(AND(A371="line",D371="invoice"),COUNTIFS($W$2:$W$500,W371,$D$2:$D$500,"quote",$A$2:$A$500,"line"),"")</f>
        <v/>
      </c>
      <c r="AB371" s="2">
        <f>IF(A371&lt;&gt;"line","",IF(D371="quote",IF(Z371=0,"quote only",IF(ABS(Y371-N371)&gt;Settings!$B$2,"amount differs","match")),IF(AA371=0,"invoice only","match")))</f>
        <v/>
      </c>
      <c r="AC371" s="2">
        <f>IF(AND(A371="line",AB371&lt;&gt;"match",COUNTIFS($A$2:$A$500,"coverage",$B$2:$B$500,B371,$C$2:$C$500,C371,$D$2:$D$500,"invoice")&gt;0),MAX($AC$1:AC370)+1,"")</f>
        <v/>
      </c>
      <c r="AD371" s="2">
        <f>IF(A371&lt;&gt;"line","",IF(O371="UNMAPPED","no mapping rule",IF(P371="L","low confidence","")))</f>
        <v/>
      </c>
      <c r="AE371" s="2">
        <f>IF(AD371&lt;&gt;"",MAX($AE$1:AE370)+1,"")</f>
        <v/>
      </c>
      <c r="AF371" s="2">
        <f>IF(A371="coverage",MAX($AF$1:AF370)+1,"")</f>
        <v/>
      </c>
      <c r="AG371" s="2">
        <f>IF(A371="line",IF(COUNTIFS($B$1:B370,B371,$C$1:C370,C371,$A$1:A370,"line")=0,MAX($AG$1:AG370)+1,""),"")</f>
        <v/>
      </c>
    </row>
    <row r="372">
      <c r="W372" s="2">
        <f>IF(A372="line",IF(D372="quote",E372,G372)&amp;"|"&amp;LOWER(TRIM(K372)),"")</f>
        <v/>
      </c>
      <c r="X372" s="2">
        <f>IF(OR(O372="LABOUR",O372="INSTALL"),"LABOUR_ALL",IF(O372="","",O372))</f>
        <v/>
      </c>
      <c r="Y372" s="9">
        <f>IF(AND(A372="line",D372="quote"),SUMIFS($N$2:$N$500,$W$2:$W$500,W372,$D$2:$D$500,"invoice",$A$2:$A$500,"line"),"")</f>
        <v/>
      </c>
      <c r="Z372" s="2">
        <f>IF(AND(A372="line",D372="quote"),COUNTIFS($W$2:$W$500,W372,$D$2:$D$500,"invoice",$A$2:$A$500,"line"),"")</f>
        <v/>
      </c>
      <c r="AA372" s="2">
        <f>IF(AND(A372="line",D372="invoice"),COUNTIFS($W$2:$W$500,W372,$D$2:$D$500,"quote",$A$2:$A$500,"line"),"")</f>
        <v/>
      </c>
      <c r="AB372" s="2">
        <f>IF(A372&lt;&gt;"line","",IF(D372="quote",IF(Z372=0,"quote only",IF(ABS(Y372-N372)&gt;Settings!$B$2,"amount differs","match")),IF(AA372=0,"invoice only","match")))</f>
        <v/>
      </c>
      <c r="AC372" s="2">
        <f>IF(AND(A372="line",AB372&lt;&gt;"match",COUNTIFS($A$2:$A$500,"coverage",$B$2:$B$500,B372,$C$2:$C$500,C372,$D$2:$D$500,"invoice")&gt;0),MAX($AC$1:AC371)+1,"")</f>
        <v/>
      </c>
      <c r="AD372" s="2">
        <f>IF(A372&lt;&gt;"line","",IF(O372="UNMAPPED","no mapping rule",IF(P372="L","low confidence","")))</f>
        <v/>
      </c>
      <c r="AE372" s="2">
        <f>IF(AD372&lt;&gt;"",MAX($AE$1:AE371)+1,"")</f>
        <v/>
      </c>
      <c r="AF372" s="2">
        <f>IF(A372="coverage",MAX($AF$1:AF371)+1,"")</f>
        <v/>
      </c>
      <c r="AG372" s="2">
        <f>IF(A372="line",IF(COUNTIFS($B$1:B371,B372,$C$1:C371,C372,$A$1:A371,"line")=0,MAX($AG$1:AG371)+1,""),"")</f>
        <v/>
      </c>
    </row>
    <row r="373">
      <c r="W373" s="2">
        <f>IF(A373="line",IF(D373="quote",E373,G373)&amp;"|"&amp;LOWER(TRIM(K373)),"")</f>
        <v/>
      </c>
      <c r="X373" s="2">
        <f>IF(OR(O373="LABOUR",O373="INSTALL"),"LABOUR_ALL",IF(O373="","",O373))</f>
        <v/>
      </c>
      <c r="Y373" s="9">
        <f>IF(AND(A373="line",D373="quote"),SUMIFS($N$2:$N$500,$W$2:$W$500,W373,$D$2:$D$500,"invoice",$A$2:$A$500,"line"),"")</f>
        <v/>
      </c>
      <c r="Z373" s="2">
        <f>IF(AND(A373="line",D373="quote"),COUNTIFS($W$2:$W$500,W373,$D$2:$D$500,"invoice",$A$2:$A$500,"line"),"")</f>
        <v/>
      </c>
      <c r="AA373" s="2">
        <f>IF(AND(A373="line",D373="invoice"),COUNTIFS($W$2:$W$500,W373,$D$2:$D$500,"quote",$A$2:$A$500,"line"),"")</f>
        <v/>
      </c>
      <c r="AB373" s="2">
        <f>IF(A373&lt;&gt;"line","",IF(D373="quote",IF(Z373=0,"quote only",IF(ABS(Y373-N373)&gt;Settings!$B$2,"amount differs","match")),IF(AA373=0,"invoice only","match")))</f>
        <v/>
      </c>
      <c r="AC373" s="2">
        <f>IF(AND(A373="line",AB373&lt;&gt;"match",COUNTIFS($A$2:$A$500,"coverage",$B$2:$B$500,B373,$C$2:$C$500,C373,$D$2:$D$500,"invoice")&gt;0),MAX($AC$1:AC372)+1,"")</f>
        <v/>
      </c>
      <c r="AD373" s="2">
        <f>IF(A373&lt;&gt;"line","",IF(O373="UNMAPPED","no mapping rule",IF(P373="L","low confidence","")))</f>
        <v/>
      </c>
      <c r="AE373" s="2">
        <f>IF(AD373&lt;&gt;"",MAX($AE$1:AE372)+1,"")</f>
        <v/>
      </c>
      <c r="AF373" s="2">
        <f>IF(A373="coverage",MAX($AF$1:AF372)+1,"")</f>
        <v/>
      </c>
      <c r="AG373" s="2">
        <f>IF(A373="line",IF(COUNTIFS($B$1:B372,B373,$C$1:C372,C373,$A$1:A372,"line")=0,MAX($AG$1:AG372)+1,""),"")</f>
        <v/>
      </c>
    </row>
    <row r="374">
      <c r="W374" s="2">
        <f>IF(A374="line",IF(D374="quote",E374,G374)&amp;"|"&amp;LOWER(TRIM(K374)),"")</f>
        <v/>
      </c>
      <c r="X374" s="2">
        <f>IF(OR(O374="LABOUR",O374="INSTALL"),"LABOUR_ALL",IF(O374="","",O374))</f>
        <v/>
      </c>
      <c r="Y374" s="9">
        <f>IF(AND(A374="line",D374="quote"),SUMIFS($N$2:$N$500,$W$2:$W$500,W374,$D$2:$D$500,"invoice",$A$2:$A$500,"line"),"")</f>
        <v/>
      </c>
      <c r="Z374" s="2">
        <f>IF(AND(A374="line",D374="quote"),COUNTIFS($W$2:$W$500,W374,$D$2:$D$500,"invoice",$A$2:$A$500,"line"),"")</f>
        <v/>
      </c>
      <c r="AA374" s="2">
        <f>IF(AND(A374="line",D374="invoice"),COUNTIFS($W$2:$W$500,W374,$D$2:$D$500,"quote",$A$2:$A$500,"line"),"")</f>
        <v/>
      </c>
      <c r="AB374" s="2">
        <f>IF(A374&lt;&gt;"line","",IF(D374="quote",IF(Z374=0,"quote only",IF(ABS(Y374-N374)&gt;Settings!$B$2,"amount differs","match")),IF(AA374=0,"invoice only","match")))</f>
        <v/>
      </c>
      <c r="AC374" s="2">
        <f>IF(AND(A374="line",AB374&lt;&gt;"match",COUNTIFS($A$2:$A$500,"coverage",$B$2:$B$500,B374,$C$2:$C$500,C374,$D$2:$D$500,"invoice")&gt;0),MAX($AC$1:AC373)+1,"")</f>
        <v/>
      </c>
      <c r="AD374" s="2">
        <f>IF(A374&lt;&gt;"line","",IF(O374="UNMAPPED","no mapping rule",IF(P374="L","low confidence","")))</f>
        <v/>
      </c>
      <c r="AE374" s="2">
        <f>IF(AD374&lt;&gt;"",MAX($AE$1:AE373)+1,"")</f>
        <v/>
      </c>
      <c r="AF374" s="2">
        <f>IF(A374="coverage",MAX($AF$1:AF373)+1,"")</f>
        <v/>
      </c>
      <c r="AG374" s="2">
        <f>IF(A374="line",IF(COUNTIFS($B$1:B373,B374,$C$1:C373,C374,$A$1:A373,"line")=0,MAX($AG$1:AG373)+1,""),"")</f>
        <v/>
      </c>
    </row>
    <row r="375">
      <c r="W375" s="2">
        <f>IF(A375="line",IF(D375="quote",E375,G375)&amp;"|"&amp;LOWER(TRIM(K375)),"")</f>
        <v/>
      </c>
      <c r="X375" s="2">
        <f>IF(OR(O375="LABOUR",O375="INSTALL"),"LABOUR_ALL",IF(O375="","",O375))</f>
        <v/>
      </c>
      <c r="Y375" s="9">
        <f>IF(AND(A375="line",D375="quote"),SUMIFS($N$2:$N$500,$W$2:$W$500,W375,$D$2:$D$500,"invoice",$A$2:$A$500,"line"),"")</f>
        <v/>
      </c>
      <c r="Z375" s="2">
        <f>IF(AND(A375="line",D375="quote"),COUNTIFS($W$2:$W$500,W375,$D$2:$D$500,"invoice",$A$2:$A$500,"line"),"")</f>
        <v/>
      </c>
      <c r="AA375" s="2">
        <f>IF(AND(A375="line",D375="invoice"),COUNTIFS($W$2:$W$500,W375,$D$2:$D$500,"quote",$A$2:$A$500,"line"),"")</f>
        <v/>
      </c>
      <c r="AB375" s="2">
        <f>IF(A375&lt;&gt;"line","",IF(D375="quote",IF(Z375=0,"quote only",IF(ABS(Y375-N375)&gt;Settings!$B$2,"amount differs","match")),IF(AA375=0,"invoice only","match")))</f>
        <v/>
      </c>
      <c r="AC375" s="2">
        <f>IF(AND(A375="line",AB375&lt;&gt;"match",COUNTIFS($A$2:$A$500,"coverage",$B$2:$B$500,B375,$C$2:$C$500,C375,$D$2:$D$500,"invoice")&gt;0),MAX($AC$1:AC374)+1,"")</f>
        <v/>
      </c>
      <c r="AD375" s="2">
        <f>IF(A375&lt;&gt;"line","",IF(O375="UNMAPPED","no mapping rule",IF(P375="L","low confidence","")))</f>
        <v/>
      </c>
      <c r="AE375" s="2">
        <f>IF(AD375&lt;&gt;"",MAX($AE$1:AE374)+1,"")</f>
        <v/>
      </c>
      <c r="AF375" s="2">
        <f>IF(A375="coverage",MAX($AF$1:AF374)+1,"")</f>
        <v/>
      </c>
      <c r="AG375" s="2">
        <f>IF(A375="line",IF(COUNTIFS($B$1:B374,B375,$C$1:C374,C375,$A$1:A374,"line")=0,MAX($AG$1:AG374)+1,""),"")</f>
        <v/>
      </c>
    </row>
    <row r="376">
      <c r="W376" s="2">
        <f>IF(A376="line",IF(D376="quote",E376,G376)&amp;"|"&amp;LOWER(TRIM(K376)),"")</f>
        <v/>
      </c>
      <c r="X376" s="2">
        <f>IF(OR(O376="LABOUR",O376="INSTALL"),"LABOUR_ALL",IF(O376="","",O376))</f>
        <v/>
      </c>
      <c r="Y376" s="9">
        <f>IF(AND(A376="line",D376="quote"),SUMIFS($N$2:$N$500,$W$2:$W$500,W376,$D$2:$D$500,"invoice",$A$2:$A$500,"line"),"")</f>
        <v/>
      </c>
      <c r="Z376" s="2">
        <f>IF(AND(A376="line",D376="quote"),COUNTIFS($W$2:$W$500,W376,$D$2:$D$500,"invoice",$A$2:$A$500,"line"),"")</f>
        <v/>
      </c>
      <c r="AA376" s="2">
        <f>IF(AND(A376="line",D376="invoice"),COUNTIFS($W$2:$W$500,W376,$D$2:$D$500,"quote",$A$2:$A$500,"line"),"")</f>
        <v/>
      </c>
      <c r="AB376" s="2">
        <f>IF(A376&lt;&gt;"line","",IF(D376="quote",IF(Z376=0,"quote only",IF(ABS(Y376-N376)&gt;Settings!$B$2,"amount differs","match")),IF(AA376=0,"invoice only","match")))</f>
        <v/>
      </c>
      <c r="AC376" s="2">
        <f>IF(AND(A376="line",AB376&lt;&gt;"match",COUNTIFS($A$2:$A$500,"coverage",$B$2:$B$500,B376,$C$2:$C$500,C376,$D$2:$D$500,"invoice")&gt;0),MAX($AC$1:AC375)+1,"")</f>
        <v/>
      </c>
      <c r="AD376" s="2">
        <f>IF(A376&lt;&gt;"line","",IF(O376="UNMAPPED","no mapping rule",IF(P376="L","low confidence","")))</f>
        <v/>
      </c>
      <c r="AE376" s="2">
        <f>IF(AD376&lt;&gt;"",MAX($AE$1:AE375)+1,"")</f>
        <v/>
      </c>
      <c r="AF376" s="2">
        <f>IF(A376="coverage",MAX($AF$1:AF375)+1,"")</f>
        <v/>
      </c>
      <c r="AG376" s="2">
        <f>IF(A376="line",IF(COUNTIFS($B$1:B375,B376,$C$1:C375,C376,$A$1:A375,"line")=0,MAX($AG$1:AG375)+1,""),"")</f>
        <v/>
      </c>
    </row>
    <row r="377">
      <c r="W377" s="2">
        <f>IF(A377="line",IF(D377="quote",E377,G377)&amp;"|"&amp;LOWER(TRIM(K377)),"")</f>
        <v/>
      </c>
      <c r="X377" s="2">
        <f>IF(OR(O377="LABOUR",O377="INSTALL"),"LABOUR_ALL",IF(O377="","",O377))</f>
        <v/>
      </c>
      <c r="Y377" s="9">
        <f>IF(AND(A377="line",D377="quote"),SUMIFS($N$2:$N$500,$W$2:$W$500,W377,$D$2:$D$500,"invoice",$A$2:$A$500,"line"),"")</f>
        <v/>
      </c>
      <c r="Z377" s="2">
        <f>IF(AND(A377="line",D377="quote"),COUNTIFS($W$2:$W$500,W377,$D$2:$D$500,"invoice",$A$2:$A$500,"line"),"")</f>
        <v/>
      </c>
      <c r="AA377" s="2">
        <f>IF(AND(A377="line",D377="invoice"),COUNTIFS($W$2:$W$500,W377,$D$2:$D$500,"quote",$A$2:$A$500,"line"),"")</f>
        <v/>
      </c>
      <c r="AB377" s="2">
        <f>IF(A377&lt;&gt;"line","",IF(D377="quote",IF(Z377=0,"quote only",IF(ABS(Y377-N377)&gt;Settings!$B$2,"amount differs","match")),IF(AA377=0,"invoice only","match")))</f>
        <v/>
      </c>
      <c r="AC377" s="2">
        <f>IF(AND(A377="line",AB377&lt;&gt;"match",COUNTIFS($A$2:$A$500,"coverage",$B$2:$B$500,B377,$C$2:$C$500,C377,$D$2:$D$500,"invoice")&gt;0),MAX($AC$1:AC376)+1,"")</f>
        <v/>
      </c>
      <c r="AD377" s="2">
        <f>IF(A377&lt;&gt;"line","",IF(O377="UNMAPPED","no mapping rule",IF(P377="L","low confidence","")))</f>
        <v/>
      </c>
      <c r="AE377" s="2">
        <f>IF(AD377&lt;&gt;"",MAX($AE$1:AE376)+1,"")</f>
        <v/>
      </c>
      <c r="AF377" s="2">
        <f>IF(A377="coverage",MAX($AF$1:AF376)+1,"")</f>
        <v/>
      </c>
      <c r="AG377" s="2">
        <f>IF(A377="line",IF(COUNTIFS($B$1:B376,B377,$C$1:C376,C377,$A$1:A376,"line")=0,MAX($AG$1:AG376)+1,""),"")</f>
        <v/>
      </c>
    </row>
    <row r="378">
      <c r="W378" s="2">
        <f>IF(A378="line",IF(D378="quote",E378,G378)&amp;"|"&amp;LOWER(TRIM(K378)),"")</f>
        <v/>
      </c>
      <c r="X378" s="2">
        <f>IF(OR(O378="LABOUR",O378="INSTALL"),"LABOUR_ALL",IF(O378="","",O378))</f>
        <v/>
      </c>
      <c r="Y378" s="9">
        <f>IF(AND(A378="line",D378="quote"),SUMIFS($N$2:$N$500,$W$2:$W$500,W378,$D$2:$D$500,"invoice",$A$2:$A$500,"line"),"")</f>
        <v/>
      </c>
      <c r="Z378" s="2">
        <f>IF(AND(A378="line",D378="quote"),COUNTIFS($W$2:$W$500,W378,$D$2:$D$500,"invoice",$A$2:$A$500,"line"),"")</f>
        <v/>
      </c>
      <c r="AA378" s="2">
        <f>IF(AND(A378="line",D378="invoice"),COUNTIFS($W$2:$W$500,W378,$D$2:$D$500,"quote",$A$2:$A$500,"line"),"")</f>
        <v/>
      </c>
      <c r="AB378" s="2">
        <f>IF(A378&lt;&gt;"line","",IF(D378="quote",IF(Z378=0,"quote only",IF(ABS(Y378-N378)&gt;Settings!$B$2,"amount differs","match")),IF(AA378=0,"invoice only","match")))</f>
        <v/>
      </c>
      <c r="AC378" s="2">
        <f>IF(AND(A378="line",AB378&lt;&gt;"match",COUNTIFS($A$2:$A$500,"coverage",$B$2:$B$500,B378,$C$2:$C$500,C378,$D$2:$D$500,"invoice")&gt;0),MAX($AC$1:AC377)+1,"")</f>
        <v/>
      </c>
      <c r="AD378" s="2">
        <f>IF(A378&lt;&gt;"line","",IF(O378="UNMAPPED","no mapping rule",IF(P378="L","low confidence","")))</f>
        <v/>
      </c>
      <c r="AE378" s="2">
        <f>IF(AD378&lt;&gt;"",MAX($AE$1:AE377)+1,"")</f>
        <v/>
      </c>
      <c r="AF378" s="2">
        <f>IF(A378="coverage",MAX($AF$1:AF377)+1,"")</f>
        <v/>
      </c>
      <c r="AG378" s="2">
        <f>IF(A378="line",IF(COUNTIFS($B$1:B377,B378,$C$1:C377,C378,$A$1:A377,"line")=0,MAX($AG$1:AG377)+1,""),"")</f>
        <v/>
      </c>
    </row>
    <row r="379">
      <c r="W379" s="2">
        <f>IF(A379="line",IF(D379="quote",E379,G379)&amp;"|"&amp;LOWER(TRIM(K379)),"")</f>
        <v/>
      </c>
      <c r="X379" s="2">
        <f>IF(OR(O379="LABOUR",O379="INSTALL"),"LABOUR_ALL",IF(O379="","",O379))</f>
        <v/>
      </c>
      <c r="Y379" s="9">
        <f>IF(AND(A379="line",D379="quote"),SUMIFS($N$2:$N$500,$W$2:$W$500,W379,$D$2:$D$500,"invoice",$A$2:$A$500,"line"),"")</f>
        <v/>
      </c>
      <c r="Z379" s="2">
        <f>IF(AND(A379="line",D379="quote"),COUNTIFS($W$2:$W$500,W379,$D$2:$D$500,"invoice",$A$2:$A$500,"line"),"")</f>
        <v/>
      </c>
      <c r="AA379" s="2">
        <f>IF(AND(A379="line",D379="invoice"),COUNTIFS($W$2:$W$500,W379,$D$2:$D$500,"quote",$A$2:$A$500,"line"),"")</f>
        <v/>
      </c>
      <c r="AB379" s="2">
        <f>IF(A379&lt;&gt;"line","",IF(D379="quote",IF(Z379=0,"quote only",IF(ABS(Y379-N379)&gt;Settings!$B$2,"amount differs","match")),IF(AA379=0,"invoice only","match")))</f>
        <v/>
      </c>
      <c r="AC379" s="2">
        <f>IF(AND(A379="line",AB379&lt;&gt;"match",COUNTIFS($A$2:$A$500,"coverage",$B$2:$B$500,B379,$C$2:$C$500,C379,$D$2:$D$500,"invoice")&gt;0),MAX($AC$1:AC378)+1,"")</f>
        <v/>
      </c>
      <c r="AD379" s="2">
        <f>IF(A379&lt;&gt;"line","",IF(O379="UNMAPPED","no mapping rule",IF(P379="L","low confidence","")))</f>
        <v/>
      </c>
      <c r="AE379" s="2">
        <f>IF(AD379&lt;&gt;"",MAX($AE$1:AE378)+1,"")</f>
        <v/>
      </c>
      <c r="AF379" s="2">
        <f>IF(A379="coverage",MAX($AF$1:AF378)+1,"")</f>
        <v/>
      </c>
      <c r="AG379" s="2">
        <f>IF(A379="line",IF(COUNTIFS($B$1:B378,B379,$C$1:C378,C379,$A$1:A378,"line")=0,MAX($AG$1:AG378)+1,""),"")</f>
        <v/>
      </c>
    </row>
    <row r="380">
      <c r="W380" s="2">
        <f>IF(A380="line",IF(D380="quote",E380,G380)&amp;"|"&amp;LOWER(TRIM(K380)),"")</f>
        <v/>
      </c>
      <c r="X380" s="2">
        <f>IF(OR(O380="LABOUR",O380="INSTALL"),"LABOUR_ALL",IF(O380="","",O380))</f>
        <v/>
      </c>
      <c r="Y380" s="9">
        <f>IF(AND(A380="line",D380="quote"),SUMIFS($N$2:$N$500,$W$2:$W$500,W380,$D$2:$D$500,"invoice",$A$2:$A$500,"line"),"")</f>
        <v/>
      </c>
      <c r="Z380" s="2">
        <f>IF(AND(A380="line",D380="quote"),COUNTIFS($W$2:$W$500,W380,$D$2:$D$500,"invoice",$A$2:$A$500,"line"),"")</f>
        <v/>
      </c>
      <c r="AA380" s="2">
        <f>IF(AND(A380="line",D380="invoice"),COUNTIFS($W$2:$W$500,W380,$D$2:$D$500,"quote",$A$2:$A$500,"line"),"")</f>
        <v/>
      </c>
      <c r="AB380" s="2">
        <f>IF(A380&lt;&gt;"line","",IF(D380="quote",IF(Z380=0,"quote only",IF(ABS(Y380-N380)&gt;Settings!$B$2,"amount differs","match")),IF(AA380=0,"invoice only","match")))</f>
        <v/>
      </c>
      <c r="AC380" s="2">
        <f>IF(AND(A380="line",AB380&lt;&gt;"match",COUNTIFS($A$2:$A$500,"coverage",$B$2:$B$500,B380,$C$2:$C$500,C380,$D$2:$D$500,"invoice")&gt;0),MAX($AC$1:AC379)+1,"")</f>
        <v/>
      </c>
      <c r="AD380" s="2">
        <f>IF(A380&lt;&gt;"line","",IF(O380="UNMAPPED","no mapping rule",IF(P380="L","low confidence","")))</f>
        <v/>
      </c>
      <c r="AE380" s="2">
        <f>IF(AD380&lt;&gt;"",MAX($AE$1:AE379)+1,"")</f>
        <v/>
      </c>
      <c r="AF380" s="2">
        <f>IF(A380="coverage",MAX($AF$1:AF379)+1,"")</f>
        <v/>
      </c>
      <c r="AG380" s="2">
        <f>IF(A380="line",IF(COUNTIFS($B$1:B379,B380,$C$1:C379,C380,$A$1:A379,"line")=0,MAX($AG$1:AG379)+1,""),"")</f>
        <v/>
      </c>
    </row>
    <row r="381">
      <c r="W381" s="2">
        <f>IF(A381="line",IF(D381="quote",E381,G381)&amp;"|"&amp;LOWER(TRIM(K381)),"")</f>
        <v/>
      </c>
      <c r="X381" s="2">
        <f>IF(OR(O381="LABOUR",O381="INSTALL"),"LABOUR_ALL",IF(O381="","",O381))</f>
        <v/>
      </c>
      <c r="Y381" s="9">
        <f>IF(AND(A381="line",D381="quote"),SUMIFS($N$2:$N$500,$W$2:$W$500,W381,$D$2:$D$500,"invoice",$A$2:$A$500,"line"),"")</f>
        <v/>
      </c>
      <c r="Z381" s="2">
        <f>IF(AND(A381="line",D381="quote"),COUNTIFS($W$2:$W$500,W381,$D$2:$D$500,"invoice",$A$2:$A$500,"line"),"")</f>
        <v/>
      </c>
      <c r="AA381" s="2">
        <f>IF(AND(A381="line",D381="invoice"),COUNTIFS($W$2:$W$500,W381,$D$2:$D$500,"quote",$A$2:$A$500,"line"),"")</f>
        <v/>
      </c>
      <c r="AB381" s="2">
        <f>IF(A381&lt;&gt;"line","",IF(D381="quote",IF(Z381=0,"quote only",IF(ABS(Y381-N381)&gt;Settings!$B$2,"amount differs","match")),IF(AA381=0,"invoice only","match")))</f>
        <v/>
      </c>
      <c r="AC381" s="2">
        <f>IF(AND(A381="line",AB381&lt;&gt;"match",COUNTIFS($A$2:$A$500,"coverage",$B$2:$B$500,B381,$C$2:$C$500,C381,$D$2:$D$500,"invoice")&gt;0),MAX($AC$1:AC380)+1,"")</f>
        <v/>
      </c>
      <c r="AD381" s="2">
        <f>IF(A381&lt;&gt;"line","",IF(O381="UNMAPPED","no mapping rule",IF(P381="L","low confidence","")))</f>
        <v/>
      </c>
      <c r="AE381" s="2">
        <f>IF(AD381&lt;&gt;"",MAX($AE$1:AE380)+1,"")</f>
        <v/>
      </c>
      <c r="AF381" s="2">
        <f>IF(A381="coverage",MAX($AF$1:AF380)+1,"")</f>
        <v/>
      </c>
      <c r="AG381" s="2">
        <f>IF(A381="line",IF(COUNTIFS($B$1:B380,B381,$C$1:C380,C381,$A$1:A380,"line")=0,MAX($AG$1:AG380)+1,""),"")</f>
        <v/>
      </c>
    </row>
    <row r="382">
      <c r="W382" s="2">
        <f>IF(A382="line",IF(D382="quote",E382,G382)&amp;"|"&amp;LOWER(TRIM(K382)),"")</f>
        <v/>
      </c>
      <c r="X382" s="2">
        <f>IF(OR(O382="LABOUR",O382="INSTALL"),"LABOUR_ALL",IF(O382="","",O382))</f>
        <v/>
      </c>
      <c r="Y382" s="9">
        <f>IF(AND(A382="line",D382="quote"),SUMIFS($N$2:$N$500,$W$2:$W$500,W382,$D$2:$D$500,"invoice",$A$2:$A$500,"line"),"")</f>
        <v/>
      </c>
      <c r="Z382" s="2">
        <f>IF(AND(A382="line",D382="quote"),COUNTIFS($W$2:$W$500,W382,$D$2:$D$500,"invoice",$A$2:$A$500,"line"),"")</f>
        <v/>
      </c>
      <c r="AA382" s="2">
        <f>IF(AND(A382="line",D382="invoice"),COUNTIFS($W$2:$W$500,W382,$D$2:$D$500,"quote",$A$2:$A$500,"line"),"")</f>
        <v/>
      </c>
      <c r="AB382" s="2">
        <f>IF(A382&lt;&gt;"line","",IF(D382="quote",IF(Z382=0,"quote only",IF(ABS(Y382-N382)&gt;Settings!$B$2,"amount differs","match")),IF(AA382=0,"invoice only","match")))</f>
        <v/>
      </c>
      <c r="AC382" s="2">
        <f>IF(AND(A382="line",AB382&lt;&gt;"match",COUNTIFS($A$2:$A$500,"coverage",$B$2:$B$500,B382,$C$2:$C$500,C382,$D$2:$D$500,"invoice")&gt;0),MAX($AC$1:AC381)+1,"")</f>
        <v/>
      </c>
      <c r="AD382" s="2">
        <f>IF(A382&lt;&gt;"line","",IF(O382="UNMAPPED","no mapping rule",IF(P382="L","low confidence","")))</f>
        <v/>
      </c>
      <c r="AE382" s="2">
        <f>IF(AD382&lt;&gt;"",MAX($AE$1:AE381)+1,"")</f>
        <v/>
      </c>
      <c r="AF382" s="2">
        <f>IF(A382="coverage",MAX($AF$1:AF381)+1,"")</f>
        <v/>
      </c>
      <c r="AG382" s="2">
        <f>IF(A382="line",IF(COUNTIFS($B$1:B381,B382,$C$1:C381,C382,$A$1:A381,"line")=0,MAX($AG$1:AG381)+1,""),"")</f>
        <v/>
      </c>
    </row>
    <row r="383">
      <c r="W383" s="2">
        <f>IF(A383="line",IF(D383="quote",E383,G383)&amp;"|"&amp;LOWER(TRIM(K383)),"")</f>
        <v/>
      </c>
      <c r="X383" s="2">
        <f>IF(OR(O383="LABOUR",O383="INSTALL"),"LABOUR_ALL",IF(O383="","",O383))</f>
        <v/>
      </c>
      <c r="Y383" s="9">
        <f>IF(AND(A383="line",D383="quote"),SUMIFS($N$2:$N$500,$W$2:$W$500,W383,$D$2:$D$500,"invoice",$A$2:$A$500,"line"),"")</f>
        <v/>
      </c>
      <c r="Z383" s="2">
        <f>IF(AND(A383="line",D383="quote"),COUNTIFS($W$2:$W$500,W383,$D$2:$D$500,"invoice",$A$2:$A$500,"line"),"")</f>
        <v/>
      </c>
      <c r="AA383" s="2">
        <f>IF(AND(A383="line",D383="invoice"),COUNTIFS($W$2:$W$500,W383,$D$2:$D$500,"quote",$A$2:$A$500,"line"),"")</f>
        <v/>
      </c>
      <c r="AB383" s="2">
        <f>IF(A383&lt;&gt;"line","",IF(D383="quote",IF(Z383=0,"quote only",IF(ABS(Y383-N383)&gt;Settings!$B$2,"amount differs","match")),IF(AA383=0,"invoice only","match")))</f>
        <v/>
      </c>
      <c r="AC383" s="2">
        <f>IF(AND(A383="line",AB383&lt;&gt;"match",COUNTIFS($A$2:$A$500,"coverage",$B$2:$B$500,B383,$C$2:$C$500,C383,$D$2:$D$500,"invoice")&gt;0),MAX($AC$1:AC382)+1,"")</f>
        <v/>
      </c>
      <c r="AD383" s="2">
        <f>IF(A383&lt;&gt;"line","",IF(O383="UNMAPPED","no mapping rule",IF(P383="L","low confidence","")))</f>
        <v/>
      </c>
      <c r="AE383" s="2">
        <f>IF(AD383&lt;&gt;"",MAX($AE$1:AE382)+1,"")</f>
        <v/>
      </c>
      <c r="AF383" s="2">
        <f>IF(A383="coverage",MAX($AF$1:AF382)+1,"")</f>
        <v/>
      </c>
      <c r="AG383" s="2">
        <f>IF(A383="line",IF(COUNTIFS($B$1:B382,B383,$C$1:C382,C383,$A$1:A382,"line")=0,MAX($AG$1:AG382)+1,""),"")</f>
        <v/>
      </c>
    </row>
    <row r="384">
      <c r="W384" s="2">
        <f>IF(A384="line",IF(D384="quote",E384,G384)&amp;"|"&amp;LOWER(TRIM(K384)),"")</f>
        <v/>
      </c>
      <c r="X384" s="2">
        <f>IF(OR(O384="LABOUR",O384="INSTALL"),"LABOUR_ALL",IF(O384="","",O384))</f>
        <v/>
      </c>
      <c r="Y384" s="9">
        <f>IF(AND(A384="line",D384="quote"),SUMIFS($N$2:$N$500,$W$2:$W$500,W384,$D$2:$D$500,"invoice",$A$2:$A$500,"line"),"")</f>
        <v/>
      </c>
      <c r="Z384" s="2">
        <f>IF(AND(A384="line",D384="quote"),COUNTIFS($W$2:$W$500,W384,$D$2:$D$500,"invoice",$A$2:$A$500,"line"),"")</f>
        <v/>
      </c>
      <c r="AA384" s="2">
        <f>IF(AND(A384="line",D384="invoice"),COUNTIFS($W$2:$W$500,W384,$D$2:$D$500,"quote",$A$2:$A$500,"line"),"")</f>
        <v/>
      </c>
      <c r="AB384" s="2">
        <f>IF(A384&lt;&gt;"line","",IF(D384="quote",IF(Z384=0,"quote only",IF(ABS(Y384-N384)&gt;Settings!$B$2,"amount differs","match")),IF(AA384=0,"invoice only","match")))</f>
        <v/>
      </c>
      <c r="AC384" s="2">
        <f>IF(AND(A384="line",AB384&lt;&gt;"match",COUNTIFS($A$2:$A$500,"coverage",$B$2:$B$500,B384,$C$2:$C$500,C384,$D$2:$D$500,"invoice")&gt;0),MAX($AC$1:AC383)+1,"")</f>
        <v/>
      </c>
      <c r="AD384" s="2">
        <f>IF(A384&lt;&gt;"line","",IF(O384="UNMAPPED","no mapping rule",IF(P384="L","low confidence","")))</f>
        <v/>
      </c>
      <c r="AE384" s="2">
        <f>IF(AD384&lt;&gt;"",MAX($AE$1:AE383)+1,"")</f>
        <v/>
      </c>
      <c r="AF384" s="2">
        <f>IF(A384="coverage",MAX($AF$1:AF383)+1,"")</f>
        <v/>
      </c>
      <c r="AG384" s="2">
        <f>IF(A384="line",IF(COUNTIFS($B$1:B383,B384,$C$1:C383,C384,$A$1:A383,"line")=0,MAX($AG$1:AG383)+1,""),"")</f>
        <v/>
      </c>
    </row>
    <row r="385">
      <c r="W385" s="2">
        <f>IF(A385="line",IF(D385="quote",E385,G385)&amp;"|"&amp;LOWER(TRIM(K385)),"")</f>
        <v/>
      </c>
      <c r="X385" s="2">
        <f>IF(OR(O385="LABOUR",O385="INSTALL"),"LABOUR_ALL",IF(O385="","",O385))</f>
        <v/>
      </c>
      <c r="Y385" s="9">
        <f>IF(AND(A385="line",D385="quote"),SUMIFS($N$2:$N$500,$W$2:$W$500,W385,$D$2:$D$500,"invoice",$A$2:$A$500,"line"),"")</f>
        <v/>
      </c>
      <c r="Z385" s="2">
        <f>IF(AND(A385="line",D385="quote"),COUNTIFS($W$2:$W$500,W385,$D$2:$D$500,"invoice",$A$2:$A$500,"line"),"")</f>
        <v/>
      </c>
      <c r="AA385" s="2">
        <f>IF(AND(A385="line",D385="invoice"),COUNTIFS($W$2:$W$500,W385,$D$2:$D$500,"quote",$A$2:$A$500,"line"),"")</f>
        <v/>
      </c>
      <c r="AB385" s="2">
        <f>IF(A385&lt;&gt;"line","",IF(D385="quote",IF(Z385=0,"quote only",IF(ABS(Y385-N385)&gt;Settings!$B$2,"amount differs","match")),IF(AA385=0,"invoice only","match")))</f>
        <v/>
      </c>
      <c r="AC385" s="2">
        <f>IF(AND(A385="line",AB385&lt;&gt;"match",COUNTIFS($A$2:$A$500,"coverage",$B$2:$B$500,B385,$C$2:$C$500,C385,$D$2:$D$500,"invoice")&gt;0),MAX($AC$1:AC384)+1,"")</f>
        <v/>
      </c>
      <c r="AD385" s="2">
        <f>IF(A385&lt;&gt;"line","",IF(O385="UNMAPPED","no mapping rule",IF(P385="L","low confidence","")))</f>
        <v/>
      </c>
      <c r="AE385" s="2">
        <f>IF(AD385&lt;&gt;"",MAX($AE$1:AE384)+1,"")</f>
        <v/>
      </c>
      <c r="AF385" s="2">
        <f>IF(A385="coverage",MAX($AF$1:AF384)+1,"")</f>
        <v/>
      </c>
      <c r="AG385" s="2">
        <f>IF(A385="line",IF(COUNTIFS($B$1:B384,B385,$C$1:C384,C385,$A$1:A384,"line")=0,MAX($AG$1:AG384)+1,""),"")</f>
        <v/>
      </c>
    </row>
    <row r="386">
      <c r="W386" s="2">
        <f>IF(A386="line",IF(D386="quote",E386,G386)&amp;"|"&amp;LOWER(TRIM(K386)),"")</f>
        <v/>
      </c>
      <c r="X386" s="2">
        <f>IF(OR(O386="LABOUR",O386="INSTALL"),"LABOUR_ALL",IF(O386="","",O386))</f>
        <v/>
      </c>
      <c r="Y386" s="9">
        <f>IF(AND(A386="line",D386="quote"),SUMIFS($N$2:$N$500,$W$2:$W$500,W386,$D$2:$D$500,"invoice",$A$2:$A$500,"line"),"")</f>
        <v/>
      </c>
      <c r="Z386" s="2">
        <f>IF(AND(A386="line",D386="quote"),COUNTIFS($W$2:$W$500,W386,$D$2:$D$500,"invoice",$A$2:$A$500,"line"),"")</f>
        <v/>
      </c>
      <c r="AA386" s="2">
        <f>IF(AND(A386="line",D386="invoice"),COUNTIFS($W$2:$W$500,W386,$D$2:$D$500,"quote",$A$2:$A$500,"line"),"")</f>
        <v/>
      </c>
      <c r="AB386" s="2">
        <f>IF(A386&lt;&gt;"line","",IF(D386="quote",IF(Z386=0,"quote only",IF(ABS(Y386-N386)&gt;Settings!$B$2,"amount differs","match")),IF(AA386=0,"invoice only","match")))</f>
        <v/>
      </c>
      <c r="AC386" s="2">
        <f>IF(AND(A386="line",AB386&lt;&gt;"match",COUNTIFS($A$2:$A$500,"coverage",$B$2:$B$500,B386,$C$2:$C$500,C386,$D$2:$D$500,"invoice")&gt;0),MAX($AC$1:AC385)+1,"")</f>
        <v/>
      </c>
      <c r="AD386" s="2">
        <f>IF(A386&lt;&gt;"line","",IF(O386="UNMAPPED","no mapping rule",IF(P386="L","low confidence","")))</f>
        <v/>
      </c>
      <c r="AE386" s="2">
        <f>IF(AD386&lt;&gt;"",MAX($AE$1:AE385)+1,"")</f>
        <v/>
      </c>
      <c r="AF386" s="2">
        <f>IF(A386="coverage",MAX($AF$1:AF385)+1,"")</f>
        <v/>
      </c>
      <c r="AG386" s="2">
        <f>IF(A386="line",IF(COUNTIFS($B$1:B385,B386,$C$1:C385,C386,$A$1:A385,"line")=0,MAX($AG$1:AG385)+1,""),"")</f>
        <v/>
      </c>
    </row>
    <row r="387">
      <c r="W387" s="2">
        <f>IF(A387="line",IF(D387="quote",E387,G387)&amp;"|"&amp;LOWER(TRIM(K387)),"")</f>
        <v/>
      </c>
      <c r="X387" s="2">
        <f>IF(OR(O387="LABOUR",O387="INSTALL"),"LABOUR_ALL",IF(O387="","",O387))</f>
        <v/>
      </c>
      <c r="Y387" s="9">
        <f>IF(AND(A387="line",D387="quote"),SUMIFS($N$2:$N$500,$W$2:$W$500,W387,$D$2:$D$500,"invoice",$A$2:$A$500,"line"),"")</f>
        <v/>
      </c>
      <c r="Z387" s="2">
        <f>IF(AND(A387="line",D387="quote"),COUNTIFS($W$2:$W$500,W387,$D$2:$D$500,"invoice",$A$2:$A$500,"line"),"")</f>
        <v/>
      </c>
      <c r="AA387" s="2">
        <f>IF(AND(A387="line",D387="invoice"),COUNTIFS($W$2:$W$500,W387,$D$2:$D$500,"quote",$A$2:$A$500,"line"),"")</f>
        <v/>
      </c>
      <c r="AB387" s="2">
        <f>IF(A387&lt;&gt;"line","",IF(D387="quote",IF(Z387=0,"quote only",IF(ABS(Y387-N387)&gt;Settings!$B$2,"amount differs","match")),IF(AA387=0,"invoice only","match")))</f>
        <v/>
      </c>
      <c r="AC387" s="2">
        <f>IF(AND(A387="line",AB387&lt;&gt;"match",COUNTIFS($A$2:$A$500,"coverage",$B$2:$B$500,B387,$C$2:$C$500,C387,$D$2:$D$500,"invoice")&gt;0),MAX($AC$1:AC386)+1,"")</f>
        <v/>
      </c>
      <c r="AD387" s="2">
        <f>IF(A387&lt;&gt;"line","",IF(O387="UNMAPPED","no mapping rule",IF(P387="L","low confidence","")))</f>
        <v/>
      </c>
      <c r="AE387" s="2">
        <f>IF(AD387&lt;&gt;"",MAX($AE$1:AE386)+1,"")</f>
        <v/>
      </c>
      <c r="AF387" s="2">
        <f>IF(A387="coverage",MAX($AF$1:AF386)+1,"")</f>
        <v/>
      </c>
      <c r="AG387" s="2">
        <f>IF(A387="line",IF(COUNTIFS($B$1:B386,B387,$C$1:C386,C387,$A$1:A386,"line")=0,MAX($AG$1:AG386)+1,""),"")</f>
        <v/>
      </c>
    </row>
    <row r="388">
      <c r="W388" s="2">
        <f>IF(A388="line",IF(D388="quote",E388,G388)&amp;"|"&amp;LOWER(TRIM(K388)),"")</f>
        <v/>
      </c>
      <c r="X388" s="2">
        <f>IF(OR(O388="LABOUR",O388="INSTALL"),"LABOUR_ALL",IF(O388="","",O388))</f>
        <v/>
      </c>
      <c r="Y388" s="9">
        <f>IF(AND(A388="line",D388="quote"),SUMIFS($N$2:$N$500,$W$2:$W$500,W388,$D$2:$D$500,"invoice",$A$2:$A$500,"line"),"")</f>
        <v/>
      </c>
      <c r="Z388" s="2">
        <f>IF(AND(A388="line",D388="quote"),COUNTIFS($W$2:$W$500,W388,$D$2:$D$500,"invoice",$A$2:$A$500,"line"),"")</f>
        <v/>
      </c>
      <c r="AA388" s="2">
        <f>IF(AND(A388="line",D388="invoice"),COUNTIFS($W$2:$W$500,W388,$D$2:$D$500,"quote",$A$2:$A$500,"line"),"")</f>
        <v/>
      </c>
      <c r="AB388" s="2">
        <f>IF(A388&lt;&gt;"line","",IF(D388="quote",IF(Z388=0,"quote only",IF(ABS(Y388-N388)&gt;Settings!$B$2,"amount differs","match")),IF(AA388=0,"invoice only","match")))</f>
        <v/>
      </c>
      <c r="AC388" s="2">
        <f>IF(AND(A388="line",AB388&lt;&gt;"match",COUNTIFS($A$2:$A$500,"coverage",$B$2:$B$500,B388,$C$2:$C$500,C388,$D$2:$D$500,"invoice")&gt;0),MAX($AC$1:AC387)+1,"")</f>
        <v/>
      </c>
      <c r="AD388" s="2">
        <f>IF(A388&lt;&gt;"line","",IF(O388="UNMAPPED","no mapping rule",IF(P388="L","low confidence","")))</f>
        <v/>
      </c>
      <c r="AE388" s="2">
        <f>IF(AD388&lt;&gt;"",MAX($AE$1:AE387)+1,"")</f>
        <v/>
      </c>
      <c r="AF388" s="2">
        <f>IF(A388="coverage",MAX($AF$1:AF387)+1,"")</f>
        <v/>
      </c>
      <c r="AG388" s="2">
        <f>IF(A388="line",IF(COUNTIFS($B$1:B387,B388,$C$1:C387,C388,$A$1:A387,"line")=0,MAX($AG$1:AG387)+1,""),"")</f>
        <v/>
      </c>
    </row>
    <row r="389">
      <c r="W389" s="2">
        <f>IF(A389="line",IF(D389="quote",E389,G389)&amp;"|"&amp;LOWER(TRIM(K389)),"")</f>
        <v/>
      </c>
      <c r="X389" s="2">
        <f>IF(OR(O389="LABOUR",O389="INSTALL"),"LABOUR_ALL",IF(O389="","",O389))</f>
        <v/>
      </c>
      <c r="Y389" s="9">
        <f>IF(AND(A389="line",D389="quote"),SUMIFS($N$2:$N$500,$W$2:$W$500,W389,$D$2:$D$500,"invoice",$A$2:$A$500,"line"),"")</f>
        <v/>
      </c>
      <c r="Z389" s="2">
        <f>IF(AND(A389="line",D389="quote"),COUNTIFS($W$2:$W$500,W389,$D$2:$D$500,"invoice",$A$2:$A$500,"line"),"")</f>
        <v/>
      </c>
      <c r="AA389" s="2">
        <f>IF(AND(A389="line",D389="invoice"),COUNTIFS($W$2:$W$500,W389,$D$2:$D$500,"quote",$A$2:$A$500,"line"),"")</f>
        <v/>
      </c>
      <c r="AB389" s="2">
        <f>IF(A389&lt;&gt;"line","",IF(D389="quote",IF(Z389=0,"quote only",IF(ABS(Y389-N389)&gt;Settings!$B$2,"amount differs","match")),IF(AA389=0,"invoice only","match")))</f>
        <v/>
      </c>
      <c r="AC389" s="2">
        <f>IF(AND(A389="line",AB389&lt;&gt;"match",COUNTIFS($A$2:$A$500,"coverage",$B$2:$B$500,B389,$C$2:$C$500,C389,$D$2:$D$500,"invoice")&gt;0),MAX($AC$1:AC388)+1,"")</f>
        <v/>
      </c>
      <c r="AD389" s="2">
        <f>IF(A389&lt;&gt;"line","",IF(O389="UNMAPPED","no mapping rule",IF(P389="L","low confidence","")))</f>
        <v/>
      </c>
      <c r="AE389" s="2">
        <f>IF(AD389&lt;&gt;"",MAX($AE$1:AE388)+1,"")</f>
        <v/>
      </c>
      <c r="AF389" s="2">
        <f>IF(A389="coverage",MAX($AF$1:AF388)+1,"")</f>
        <v/>
      </c>
      <c r="AG389" s="2">
        <f>IF(A389="line",IF(COUNTIFS($B$1:B388,B389,$C$1:C388,C389,$A$1:A388,"line")=0,MAX($AG$1:AG388)+1,""),"")</f>
        <v/>
      </c>
    </row>
    <row r="390">
      <c r="W390" s="2">
        <f>IF(A390="line",IF(D390="quote",E390,G390)&amp;"|"&amp;LOWER(TRIM(K390)),"")</f>
        <v/>
      </c>
      <c r="X390" s="2">
        <f>IF(OR(O390="LABOUR",O390="INSTALL"),"LABOUR_ALL",IF(O390="","",O390))</f>
        <v/>
      </c>
      <c r="Y390" s="9">
        <f>IF(AND(A390="line",D390="quote"),SUMIFS($N$2:$N$500,$W$2:$W$500,W390,$D$2:$D$500,"invoice",$A$2:$A$500,"line"),"")</f>
        <v/>
      </c>
      <c r="Z390" s="2">
        <f>IF(AND(A390="line",D390="quote"),COUNTIFS($W$2:$W$500,W390,$D$2:$D$500,"invoice",$A$2:$A$500,"line"),"")</f>
        <v/>
      </c>
      <c r="AA390" s="2">
        <f>IF(AND(A390="line",D390="invoice"),COUNTIFS($W$2:$W$500,W390,$D$2:$D$500,"quote",$A$2:$A$500,"line"),"")</f>
        <v/>
      </c>
      <c r="AB390" s="2">
        <f>IF(A390&lt;&gt;"line","",IF(D390="quote",IF(Z390=0,"quote only",IF(ABS(Y390-N390)&gt;Settings!$B$2,"amount differs","match")),IF(AA390=0,"invoice only","match")))</f>
        <v/>
      </c>
      <c r="AC390" s="2">
        <f>IF(AND(A390="line",AB390&lt;&gt;"match",COUNTIFS($A$2:$A$500,"coverage",$B$2:$B$500,B390,$C$2:$C$500,C390,$D$2:$D$500,"invoice")&gt;0),MAX($AC$1:AC389)+1,"")</f>
        <v/>
      </c>
      <c r="AD390" s="2">
        <f>IF(A390&lt;&gt;"line","",IF(O390="UNMAPPED","no mapping rule",IF(P390="L","low confidence","")))</f>
        <v/>
      </c>
      <c r="AE390" s="2">
        <f>IF(AD390&lt;&gt;"",MAX($AE$1:AE389)+1,"")</f>
        <v/>
      </c>
      <c r="AF390" s="2">
        <f>IF(A390="coverage",MAX($AF$1:AF389)+1,"")</f>
        <v/>
      </c>
      <c r="AG390" s="2">
        <f>IF(A390="line",IF(COUNTIFS($B$1:B389,B390,$C$1:C389,C390,$A$1:A389,"line")=0,MAX($AG$1:AG389)+1,""),"")</f>
        <v/>
      </c>
    </row>
    <row r="391">
      <c r="W391" s="2">
        <f>IF(A391="line",IF(D391="quote",E391,G391)&amp;"|"&amp;LOWER(TRIM(K391)),"")</f>
        <v/>
      </c>
      <c r="X391" s="2">
        <f>IF(OR(O391="LABOUR",O391="INSTALL"),"LABOUR_ALL",IF(O391="","",O391))</f>
        <v/>
      </c>
      <c r="Y391" s="9">
        <f>IF(AND(A391="line",D391="quote"),SUMIFS($N$2:$N$500,$W$2:$W$500,W391,$D$2:$D$500,"invoice",$A$2:$A$500,"line"),"")</f>
        <v/>
      </c>
      <c r="Z391" s="2">
        <f>IF(AND(A391="line",D391="quote"),COUNTIFS($W$2:$W$500,W391,$D$2:$D$500,"invoice",$A$2:$A$500,"line"),"")</f>
        <v/>
      </c>
      <c r="AA391" s="2">
        <f>IF(AND(A391="line",D391="invoice"),COUNTIFS($W$2:$W$500,W391,$D$2:$D$500,"quote",$A$2:$A$500,"line"),"")</f>
        <v/>
      </c>
      <c r="AB391" s="2">
        <f>IF(A391&lt;&gt;"line","",IF(D391="quote",IF(Z391=0,"quote only",IF(ABS(Y391-N391)&gt;Settings!$B$2,"amount differs","match")),IF(AA391=0,"invoice only","match")))</f>
        <v/>
      </c>
      <c r="AC391" s="2">
        <f>IF(AND(A391="line",AB391&lt;&gt;"match",COUNTIFS($A$2:$A$500,"coverage",$B$2:$B$500,B391,$C$2:$C$500,C391,$D$2:$D$500,"invoice")&gt;0),MAX($AC$1:AC390)+1,"")</f>
        <v/>
      </c>
      <c r="AD391" s="2">
        <f>IF(A391&lt;&gt;"line","",IF(O391="UNMAPPED","no mapping rule",IF(P391="L","low confidence","")))</f>
        <v/>
      </c>
      <c r="AE391" s="2">
        <f>IF(AD391&lt;&gt;"",MAX($AE$1:AE390)+1,"")</f>
        <v/>
      </c>
      <c r="AF391" s="2">
        <f>IF(A391="coverage",MAX($AF$1:AF390)+1,"")</f>
        <v/>
      </c>
      <c r="AG391" s="2">
        <f>IF(A391="line",IF(COUNTIFS($B$1:B390,B391,$C$1:C390,C391,$A$1:A390,"line")=0,MAX($AG$1:AG390)+1,""),"")</f>
        <v/>
      </c>
    </row>
    <row r="392">
      <c r="W392" s="2">
        <f>IF(A392="line",IF(D392="quote",E392,G392)&amp;"|"&amp;LOWER(TRIM(K392)),"")</f>
        <v/>
      </c>
      <c r="X392" s="2">
        <f>IF(OR(O392="LABOUR",O392="INSTALL"),"LABOUR_ALL",IF(O392="","",O392))</f>
        <v/>
      </c>
      <c r="Y392" s="9">
        <f>IF(AND(A392="line",D392="quote"),SUMIFS($N$2:$N$500,$W$2:$W$500,W392,$D$2:$D$500,"invoice",$A$2:$A$500,"line"),"")</f>
        <v/>
      </c>
      <c r="Z392" s="2">
        <f>IF(AND(A392="line",D392="quote"),COUNTIFS($W$2:$W$500,W392,$D$2:$D$500,"invoice",$A$2:$A$500,"line"),"")</f>
        <v/>
      </c>
      <c r="AA392" s="2">
        <f>IF(AND(A392="line",D392="invoice"),COUNTIFS($W$2:$W$500,W392,$D$2:$D$500,"quote",$A$2:$A$500,"line"),"")</f>
        <v/>
      </c>
      <c r="AB392" s="2">
        <f>IF(A392&lt;&gt;"line","",IF(D392="quote",IF(Z392=0,"quote only",IF(ABS(Y392-N392)&gt;Settings!$B$2,"amount differs","match")),IF(AA392=0,"invoice only","match")))</f>
        <v/>
      </c>
      <c r="AC392" s="2">
        <f>IF(AND(A392="line",AB392&lt;&gt;"match",COUNTIFS($A$2:$A$500,"coverage",$B$2:$B$500,B392,$C$2:$C$500,C392,$D$2:$D$500,"invoice")&gt;0),MAX($AC$1:AC391)+1,"")</f>
        <v/>
      </c>
      <c r="AD392" s="2">
        <f>IF(A392&lt;&gt;"line","",IF(O392="UNMAPPED","no mapping rule",IF(P392="L","low confidence","")))</f>
        <v/>
      </c>
      <c r="AE392" s="2">
        <f>IF(AD392&lt;&gt;"",MAX($AE$1:AE391)+1,"")</f>
        <v/>
      </c>
      <c r="AF392" s="2">
        <f>IF(A392="coverage",MAX($AF$1:AF391)+1,"")</f>
        <v/>
      </c>
      <c r="AG392" s="2">
        <f>IF(A392="line",IF(COUNTIFS($B$1:B391,B392,$C$1:C391,C392,$A$1:A391,"line")=0,MAX($AG$1:AG391)+1,""),"")</f>
        <v/>
      </c>
    </row>
    <row r="393">
      <c r="W393" s="2">
        <f>IF(A393="line",IF(D393="quote",E393,G393)&amp;"|"&amp;LOWER(TRIM(K393)),"")</f>
        <v/>
      </c>
      <c r="X393" s="2">
        <f>IF(OR(O393="LABOUR",O393="INSTALL"),"LABOUR_ALL",IF(O393="","",O393))</f>
        <v/>
      </c>
      <c r="Y393" s="9">
        <f>IF(AND(A393="line",D393="quote"),SUMIFS($N$2:$N$500,$W$2:$W$500,W393,$D$2:$D$500,"invoice",$A$2:$A$500,"line"),"")</f>
        <v/>
      </c>
      <c r="Z393" s="2">
        <f>IF(AND(A393="line",D393="quote"),COUNTIFS($W$2:$W$500,W393,$D$2:$D$500,"invoice",$A$2:$A$500,"line"),"")</f>
        <v/>
      </c>
      <c r="AA393" s="2">
        <f>IF(AND(A393="line",D393="invoice"),COUNTIFS($W$2:$W$500,W393,$D$2:$D$500,"quote",$A$2:$A$500,"line"),"")</f>
        <v/>
      </c>
      <c r="AB393" s="2">
        <f>IF(A393&lt;&gt;"line","",IF(D393="quote",IF(Z393=0,"quote only",IF(ABS(Y393-N393)&gt;Settings!$B$2,"amount differs","match")),IF(AA393=0,"invoice only","match")))</f>
        <v/>
      </c>
      <c r="AC393" s="2">
        <f>IF(AND(A393="line",AB393&lt;&gt;"match",COUNTIFS($A$2:$A$500,"coverage",$B$2:$B$500,B393,$C$2:$C$500,C393,$D$2:$D$500,"invoice")&gt;0),MAX($AC$1:AC392)+1,"")</f>
        <v/>
      </c>
      <c r="AD393" s="2">
        <f>IF(A393&lt;&gt;"line","",IF(O393="UNMAPPED","no mapping rule",IF(P393="L","low confidence","")))</f>
        <v/>
      </c>
      <c r="AE393" s="2">
        <f>IF(AD393&lt;&gt;"",MAX($AE$1:AE392)+1,"")</f>
        <v/>
      </c>
      <c r="AF393" s="2">
        <f>IF(A393="coverage",MAX($AF$1:AF392)+1,"")</f>
        <v/>
      </c>
      <c r="AG393" s="2">
        <f>IF(A393="line",IF(COUNTIFS($B$1:B392,B393,$C$1:C392,C393,$A$1:A392,"line")=0,MAX($AG$1:AG392)+1,""),"")</f>
        <v/>
      </c>
    </row>
    <row r="394">
      <c r="W394" s="2">
        <f>IF(A394="line",IF(D394="quote",E394,G394)&amp;"|"&amp;LOWER(TRIM(K394)),"")</f>
        <v/>
      </c>
      <c r="X394" s="2">
        <f>IF(OR(O394="LABOUR",O394="INSTALL"),"LABOUR_ALL",IF(O394="","",O394))</f>
        <v/>
      </c>
      <c r="Y394" s="9">
        <f>IF(AND(A394="line",D394="quote"),SUMIFS($N$2:$N$500,$W$2:$W$500,W394,$D$2:$D$500,"invoice",$A$2:$A$500,"line"),"")</f>
        <v/>
      </c>
      <c r="Z394" s="2">
        <f>IF(AND(A394="line",D394="quote"),COUNTIFS($W$2:$W$500,W394,$D$2:$D$500,"invoice",$A$2:$A$500,"line"),"")</f>
        <v/>
      </c>
      <c r="AA394" s="2">
        <f>IF(AND(A394="line",D394="invoice"),COUNTIFS($W$2:$W$500,W394,$D$2:$D$500,"quote",$A$2:$A$500,"line"),"")</f>
        <v/>
      </c>
      <c r="AB394" s="2">
        <f>IF(A394&lt;&gt;"line","",IF(D394="quote",IF(Z394=0,"quote only",IF(ABS(Y394-N394)&gt;Settings!$B$2,"amount differs","match")),IF(AA394=0,"invoice only","match")))</f>
        <v/>
      </c>
      <c r="AC394" s="2">
        <f>IF(AND(A394="line",AB394&lt;&gt;"match",COUNTIFS($A$2:$A$500,"coverage",$B$2:$B$500,B394,$C$2:$C$500,C394,$D$2:$D$500,"invoice")&gt;0),MAX($AC$1:AC393)+1,"")</f>
        <v/>
      </c>
      <c r="AD394" s="2">
        <f>IF(A394&lt;&gt;"line","",IF(O394="UNMAPPED","no mapping rule",IF(P394="L","low confidence","")))</f>
        <v/>
      </c>
      <c r="AE394" s="2">
        <f>IF(AD394&lt;&gt;"",MAX($AE$1:AE393)+1,"")</f>
        <v/>
      </c>
      <c r="AF394" s="2">
        <f>IF(A394="coverage",MAX($AF$1:AF393)+1,"")</f>
        <v/>
      </c>
      <c r="AG394" s="2">
        <f>IF(A394="line",IF(COUNTIFS($B$1:B393,B394,$C$1:C393,C394,$A$1:A393,"line")=0,MAX($AG$1:AG393)+1,""),"")</f>
        <v/>
      </c>
    </row>
    <row r="395">
      <c r="W395" s="2">
        <f>IF(A395="line",IF(D395="quote",E395,G395)&amp;"|"&amp;LOWER(TRIM(K395)),"")</f>
        <v/>
      </c>
      <c r="X395" s="2">
        <f>IF(OR(O395="LABOUR",O395="INSTALL"),"LABOUR_ALL",IF(O395="","",O395))</f>
        <v/>
      </c>
      <c r="Y395" s="9">
        <f>IF(AND(A395="line",D395="quote"),SUMIFS($N$2:$N$500,$W$2:$W$500,W395,$D$2:$D$500,"invoice",$A$2:$A$500,"line"),"")</f>
        <v/>
      </c>
      <c r="Z395" s="2">
        <f>IF(AND(A395="line",D395="quote"),COUNTIFS($W$2:$W$500,W395,$D$2:$D$500,"invoice",$A$2:$A$500,"line"),"")</f>
        <v/>
      </c>
      <c r="AA395" s="2">
        <f>IF(AND(A395="line",D395="invoice"),COUNTIFS($W$2:$W$500,W395,$D$2:$D$500,"quote",$A$2:$A$500,"line"),"")</f>
        <v/>
      </c>
      <c r="AB395" s="2">
        <f>IF(A395&lt;&gt;"line","",IF(D395="quote",IF(Z395=0,"quote only",IF(ABS(Y395-N395)&gt;Settings!$B$2,"amount differs","match")),IF(AA395=0,"invoice only","match")))</f>
        <v/>
      </c>
      <c r="AC395" s="2">
        <f>IF(AND(A395="line",AB395&lt;&gt;"match",COUNTIFS($A$2:$A$500,"coverage",$B$2:$B$500,B395,$C$2:$C$500,C395,$D$2:$D$500,"invoice")&gt;0),MAX($AC$1:AC394)+1,"")</f>
        <v/>
      </c>
      <c r="AD395" s="2">
        <f>IF(A395&lt;&gt;"line","",IF(O395="UNMAPPED","no mapping rule",IF(P395="L","low confidence","")))</f>
        <v/>
      </c>
      <c r="AE395" s="2">
        <f>IF(AD395&lt;&gt;"",MAX($AE$1:AE394)+1,"")</f>
        <v/>
      </c>
      <c r="AF395" s="2">
        <f>IF(A395="coverage",MAX($AF$1:AF394)+1,"")</f>
        <v/>
      </c>
      <c r="AG395" s="2">
        <f>IF(A395="line",IF(COUNTIFS($B$1:B394,B395,$C$1:C394,C395,$A$1:A394,"line")=0,MAX($AG$1:AG394)+1,""),"")</f>
        <v/>
      </c>
    </row>
    <row r="396">
      <c r="W396" s="2">
        <f>IF(A396="line",IF(D396="quote",E396,G396)&amp;"|"&amp;LOWER(TRIM(K396)),"")</f>
        <v/>
      </c>
      <c r="X396" s="2">
        <f>IF(OR(O396="LABOUR",O396="INSTALL"),"LABOUR_ALL",IF(O396="","",O396))</f>
        <v/>
      </c>
      <c r="Y396" s="9">
        <f>IF(AND(A396="line",D396="quote"),SUMIFS($N$2:$N$500,$W$2:$W$500,W396,$D$2:$D$500,"invoice",$A$2:$A$500,"line"),"")</f>
        <v/>
      </c>
      <c r="Z396" s="2">
        <f>IF(AND(A396="line",D396="quote"),COUNTIFS($W$2:$W$500,W396,$D$2:$D$500,"invoice",$A$2:$A$500,"line"),"")</f>
        <v/>
      </c>
      <c r="AA396" s="2">
        <f>IF(AND(A396="line",D396="invoice"),COUNTIFS($W$2:$W$500,W396,$D$2:$D$500,"quote",$A$2:$A$500,"line"),"")</f>
        <v/>
      </c>
      <c r="AB396" s="2">
        <f>IF(A396&lt;&gt;"line","",IF(D396="quote",IF(Z396=0,"quote only",IF(ABS(Y396-N396)&gt;Settings!$B$2,"amount differs","match")),IF(AA396=0,"invoice only","match")))</f>
        <v/>
      </c>
      <c r="AC396" s="2">
        <f>IF(AND(A396="line",AB396&lt;&gt;"match",COUNTIFS($A$2:$A$500,"coverage",$B$2:$B$500,B396,$C$2:$C$500,C396,$D$2:$D$500,"invoice")&gt;0),MAX($AC$1:AC395)+1,"")</f>
        <v/>
      </c>
      <c r="AD396" s="2">
        <f>IF(A396&lt;&gt;"line","",IF(O396="UNMAPPED","no mapping rule",IF(P396="L","low confidence","")))</f>
        <v/>
      </c>
      <c r="AE396" s="2">
        <f>IF(AD396&lt;&gt;"",MAX($AE$1:AE395)+1,"")</f>
        <v/>
      </c>
      <c r="AF396" s="2">
        <f>IF(A396="coverage",MAX($AF$1:AF395)+1,"")</f>
        <v/>
      </c>
      <c r="AG396" s="2">
        <f>IF(A396="line",IF(COUNTIFS($B$1:B395,B396,$C$1:C395,C396,$A$1:A395,"line")=0,MAX($AG$1:AG395)+1,""),"")</f>
        <v/>
      </c>
    </row>
    <row r="397">
      <c r="W397" s="2">
        <f>IF(A397="line",IF(D397="quote",E397,G397)&amp;"|"&amp;LOWER(TRIM(K397)),"")</f>
        <v/>
      </c>
      <c r="X397" s="2">
        <f>IF(OR(O397="LABOUR",O397="INSTALL"),"LABOUR_ALL",IF(O397="","",O397))</f>
        <v/>
      </c>
      <c r="Y397" s="9">
        <f>IF(AND(A397="line",D397="quote"),SUMIFS($N$2:$N$500,$W$2:$W$500,W397,$D$2:$D$500,"invoice",$A$2:$A$500,"line"),"")</f>
        <v/>
      </c>
      <c r="Z397" s="2">
        <f>IF(AND(A397="line",D397="quote"),COUNTIFS($W$2:$W$500,W397,$D$2:$D$500,"invoice",$A$2:$A$500,"line"),"")</f>
        <v/>
      </c>
      <c r="AA397" s="2">
        <f>IF(AND(A397="line",D397="invoice"),COUNTIFS($W$2:$W$500,W397,$D$2:$D$500,"quote",$A$2:$A$500,"line"),"")</f>
        <v/>
      </c>
      <c r="AB397" s="2">
        <f>IF(A397&lt;&gt;"line","",IF(D397="quote",IF(Z397=0,"quote only",IF(ABS(Y397-N397)&gt;Settings!$B$2,"amount differs","match")),IF(AA397=0,"invoice only","match")))</f>
        <v/>
      </c>
      <c r="AC397" s="2">
        <f>IF(AND(A397="line",AB397&lt;&gt;"match",COUNTIFS($A$2:$A$500,"coverage",$B$2:$B$500,B397,$C$2:$C$500,C397,$D$2:$D$500,"invoice")&gt;0),MAX($AC$1:AC396)+1,"")</f>
        <v/>
      </c>
      <c r="AD397" s="2">
        <f>IF(A397&lt;&gt;"line","",IF(O397="UNMAPPED","no mapping rule",IF(P397="L","low confidence","")))</f>
        <v/>
      </c>
      <c r="AE397" s="2">
        <f>IF(AD397&lt;&gt;"",MAX($AE$1:AE396)+1,"")</f>
        <v/>
      </c>
      <c r="AF397" s="2">
        <f>IF(A397="coverage",MAX($AF$1:AF396)+1,"")</f>
        <v/>
      </c>
      <c r="AG397" s="2">
        <f>IF(A397="line",IF(COUNTIFS($B$1:B396,B397,$C$1:C396,C397,$A$1:A396,"line")=0,MAX($AG$1:AG396)+1,""),"")</f>
        <v/>
      </c>
    </row>
    <row r="398">
      <c r="W398" s="2">
        <f>IF(A398="line",IF(D398="quote",E398,G398)&amp;"|"&amp;LOWER(TRIM(K398)),"")</f>
        <v/>
      </c>
      <c r="X398" s="2">
        <f>IF(OR(O398="LABOUR",O398="INSTALL"),"LABOUR_ALL",IF(O398="","",O398))</f>
        <v/>
      </c>
      <c r="Y398" s="9">
        <f>IF(AND(A398="line",D398="quote"),SUMIFS($N$2:$N$500,$W$2:$W$500,W398,$D$2:$D$500,"invoice",$A$2:$A$500,"line"),"")</f>
        <v/>
      </c>
      <c r="Z398" s="2">
        <f>IF(AND(A398="line",D398="quote"),COUNTIFS($W$2:$W$500,W398,$D$2:$D$500,"invoice",$A$2:$A$500,"line"),"")</f>
        <v/>
      </c>
      <c r="AA398" s="2">
        <f>IF(AND(A398="line",D398="invoice"),COUNTIFS($W$2:$W$500,W398,$D$2:$D$500,"quote",$A$2:$A$500,"line"),"")</f>
        <v/>
      </c>
      <c r="AB398" s="2">
        <f>IF(A398&lt;&gt;"line","",IF(D398="quote",IF(Z398=0,"quote only",IF(ABS(Y398-N398)&gt;Settings!$B$2,"amount differs","match")),IF(AA398=0,"invoice only","match")))</f>
        <v/>
      </c>
      <c r="AC398" s="2">
        <f>IF(AND(A398="line",AB398&lt;&gt;"match",COUNTIFS($A$2:$A$500,"coverage",$B$2:$B$500,B398,$C$2:$C$500,C398,$D$2:$D$500,"invoice")&gt;0),MAX($AC$1:AC397)+1,"")</f>
        <v/>
      </c>
      <c r="AD398" s="2">
        <f>IF(A398&lt;&gt;"line","",IF(O398="UNMAPPED","no mapping rule",IF(P398="L","low confidence","")))</f>
        <v/>
      </c>
      <c r="AE398" s="2">
        <f>IF(AD398&lt;&gt;"",MAX($AE$1:AE397)+1,"")</f>
        <v/>
      </c>
      <c r="AF398" s="2">
        <f>IF(A398="coverage",MAX($AF$1:AF397)+1,"")</f>
        <v/>
      </c>
      <c r="AG398" s="2">
        <f>IF(A398="line",IF(COUNTIFS($B$1:B397,B398,$C$1:C397,C398,$A$1:A397,"line")=0,MAX($AG$1:AG397)+1,""),"")</f>
        <v/>
      </c>
    </row>
    <row r="399">
      <c r="W399" s="2">
        <f>IF(A399="line",IF(D399="quote",E399,G399)&amp;"|"&amp;LOWER(TRIM(K399)),"")</f>
        <v/>
      </c>
      <c r="X399" s="2">
        <f>IF(OR(O399="LABOUR",O399="INSTALL"),"LABOUR_ALL",IF(O399="","",O399))</f>
        <v/>
      </c>
      <c r="Y399" s="9">
        <f>IF(AND(A399="line",D399="quote"),SUMIFS($N$2:$N$500,$W$2:$W$500,W399,$D$2:$D$500,"invoice",$A$2:$A$500,"line"),"")</f>
        <v/>
      </c>
      <c r="Z399" s="2">
        <f>IF(AND(A399="line",D399="quote"),COUNTIFS($W$2:$W$500,W399,$D$2:$D$500,"invoice",$A$2:$A$500,"line"),"")</f>
        <v/>
      </c>
      <c r="AA399" s="2">
        <f>IF(AND(A399="line",D399="invoice"),COUNTIFS($W$2:$W$500,W399,$D$2:$D$500,"quote",$A$2:$A$500,"line"),"")</f>
        <v/>
      </c>
      <c r="AB399" s="2">
        <f>IF(A399&lt;&gt;"line","",IF(D399="quote",IF(Z399=0,"quote only",IF(ABS(Y399-N399)&gt;Settings!$B$2,"amount differs","match")),IF(AA399=0,"invoice only","match")))</f>
        <v/>
      </c>
      <c r="AC399" s="2">
        <f>IF(AND(A399="line",AB399&lt;&gt;"match",COUNTIFS($A$2:$A$500,"coverage",$B$2:$B$500,B399,$C$2:$C$500,C399,$D$2:$D$500,"invoice")&gt;0),MAX($AC$1:AC398)+1,"")</f>
        <v/>
      </c>
      <c r="AD399" s="2">
        <f>IF(A399&lt;&gt;"line","",IF(O399="UNMAPPED","no mapping rule",IF(P399="L","low confidence","")))</f>
        <v/>
      </c>
      <c r="AE399" s="2">
        <f>IF(AD399&lt;&gt;"",MAX($AE$1:AE398)+1,"")</f>
        <v/>
      </c>
      <c r="AF399" s="2">
        <f>IF(A399="coverage",MAX($AF$1:AF398)+1,"")</f>
        <v/>
      </c>
      <c r="AG399" s="2">
        <f>IF(A399="line",IF(COUNTIFS($B$1:B398,B399,$C$1:C398,C399,$A$1:A398,"line")=0,MAX($AG$1:AG398)+1,""),"")</f>
        <v/>
      </c>
    </row>
    <row r="400">
      <c r="W400" s="2">
        <f>IF(A400="line",IF(D400="quote",E400,G400)&amp;"|"&amp;LOWER(TRIM(K400)),"")</f>
        <v/>
      </c>
      <c r="X400" s="2">
        <f>IF(OR(O400="LABOUR",O400="INSTALL"),"LABOUR_ALL",IF(O400="","",O400))</f>
        <v/>
      </c>
      <c r="Y400" s="9">
        <f>IF(AND(A400="line",D400="quote"),SUMIFS($N$2:$N$500,$W$2:$W$500,W400,$D$2:$D$500,"invoice",$A$2:$A$500,"line"),"")</f>
        <v/>
      </c>
      <c r="Z400" s="2">
        <f>IF(AND(A400="line",D400="quote"),COUNTIFS($W$2:$W$500,W400,$D$2:$D$500,"invoice",$A$2:$A$500,"line"),"")</f>
        <v/>
      </c>
      <c r="AA400" s="2">
        <f>IF(AND(A400="line",D400="invoice"),COUNTIFS($W$2:$W$500,W400,$D$2:$D$500,"quote",$A$2:$A$500,"line"),"")</f>
        <v/>
      </c>
      <c r="AB400" s="2">
        <f>IF(A400&lt;&gt;"line","",IF(D400="quote",IF(Z400=0,"quote only",IF(ABS(Y400-N400)&gt;Settings!$B$2,"amount differs","match")),IF(AA400=0,"invoice only","match")))</f>
        <v/>
      </c>
      <c r="AC400" s="2">
        <f>IF(AND(A400="line",AB400&lt;&gt;"match",COUNTIFS($A$2:$A$500,"coverage",$B$2:$B$500,B400,$C$2:$C$500,C400,$D$2:$D$500,"invoice")&gt;0),MAX($AC$1:AC399)+1,"")</f>
        <v/>
      </c>
      <c r="AD400" s="2">
        <f>IF(A400&lt;&gt;"line","",IF(O400="UNMAPPED","no mapping rule",IF(P400="L","low confidence","")))</f>
        <v/>
      </c>
      <c r="AE400" s="2">
        <f>IF(AD400&lt;&gt;"",MAX($AE$1:AE399)+1,"")</f>
        <v/>
      </c>
      <c r="AF400" s="2">
        <f>IF(A400="coverage",MAX($AF$1:AF399)+1,"")</f>
        <v/>
      </c>
      <c r="AG400" s="2">
        <f>IF(A400="line",IF(COUNTIFS($B$1:B399,B400,$C$1:C399,C400,$A$1:A399,"line")=0,MAX($AG$1:AG399)+1,""),"")</f>
        <v/>
      </c>
    </row>
    <row r="401">
      <c r="W401" s="2">
        <f>IF(A401="line",IF(D401="quote",E401,G401)&amp;"|"&amp;LOWER(TRIM(K401)),"")</f>
        <v/>
      </c>
      <c r="X401" s="2">
        <f>IF(OR(O401="LABOUR",O401="INSTALL"),"LABOUR_ALL",IF(O401="","",O401))</f>
        <v/>
      </c>
      <c r="Y401" s="9">
        <f>IF(AND(A401="line",D401="quote"),SUMIFS($N$2:$N$500,$W$2:$W$500,W401,$D$2:$D$500,"invoice",$A$2:$A$500,"line"),"")</f>
        <v/>
      </c>
      <c r="Z401" s="2">
        <f>IF(AND(A401="line",D401="quote"),COUNTIFS($W$2:$W$500,W401,$D$2:$D$500,"invoice",$A$2:$A$500,"line"),"")</f>
        <v/>
      </c>
      <c r="AA401" s="2">
        <f>IF(AND(A401="line",D401="invoice"),COUNTIFS($W$2:$W$500,W401,$D$2:$D$500,"quote",$A$2:$A$500,"line"),"")</f>
        <v/>
      </c>
      <c r="AB401" s="2">
        <f>IF(A401&lt;&gt;"line","",IF(D401="quote",IF(Z401=0,"quote only",IF(ABS(Y401-N401)&gt;Settings!$B$2,"amount differs","match")),IF(AA401=0,"invoice only","match")))</f>
        <v/>
      </c>
      <c r="AC401" s="2">
        <f>IF(AND(A401="line",AB401&lt;&gt;"match",COUNTIFS($A$2:$A$500,"coverage",$B$2:$B$500,B401,$C$2:$C$500,C401,$D$2:$D$500,"invoice")&gt;0),MAX($AC$1:AC400)+1,"")</f>
        <v/>
      </c>
      <c r="AD401" s="2">
        <f>IF(A401&lt;&gt;"line","",IF(O401="UNMAPPED","no mapping rule",IF(P401="L","low confidence","")))</f>
        <v/>
      </c>
      <c r="AE401" s="2">
        <f>IF(AD401&lt;&gt;"",MAX($AE$1:AE400)+1,"")</f>
        <v/>
      </c>
      <c r="AF401" s="2">
        <f>IF(A401="coverage",MAX($AF$1:AF400)+1,"")</f>
        <v/>
      </c>
      <c r="AG401" s="2">
        <f>IF(A401="line",IF(COUNTIFS($B$1:B400,B401,$C$1:C400,C401,$A$1:A400,"line")=0,MAX($AG$1:AG400)+1,""),"")</f>
        <v/>
      </c>
    </row>
    <row r="402">
      <c r="W402" s="2">
        <f>IF(A402="line",IF(D402="quote",E402,G402)&amp;"|"&amp;LOWER(TRIM(K402)),"")</f>
        <v/>
      </c>
      <c r="X402" s="2">
        <f>IF(OR(O402="LABOUR",O402="INSTALL"),"LABOUR_ALL",IF(O402="","",O402))</f>
        <v/>
      </c>
      <c r="Y402" s="9">
        <f>IF(AND(A402="line",D402="quote"),SUMIFS($N$2:$N$500,$W$2:$W$500,W402,$D$2:$D$500,"invoice",$A$2:$A$500,"line"),"")</f>
        <v/>
      </c>
      <c r="Z402" s="2">
        <f>IF(AND(A402="line",D402="quote"),COUNTIFS($W$2:$W$500,W402,$D$2:$D$500,"invoice",$A$2:$A$500,"line"),"")</f>
        <v/>
      </c>
      <c r="AA402" s="2">
        <f>IF(AND(A402="line",D402="invoice"),COUNTIFS($W$2:$W$500,W402,$D$2:$D$500,"quote",$A$2:$A$500,"line"),"")</f>
        <v/>
      </c>
      <c r="AB402" s="2">
        <f>IF(A402&lt;&gt;"line","",IF(D402="quote",IF(Z402=0,"quote only",IF(ABS(Y402-N402)&gt;Settings!$B$2,"amount differs","match")),IF(AA402=0,"invoice only","match")))</f>
        <v/>
      </c>
      <c r="AC402" s="2">
        <f>IF(AND(A402="line",AB402&lt;&gt;"match",COUNTIFS($A$2:$A$500,"coverage",$B$2:$B$500,B402,$C$2:$C$500,C402,$D$2:$D$500,"invoice")&gt;0),MAX($AC$1:AC401)+1,"")</f>
        <v/>
      </c>
      <c r="AD402" s="2">
        <f>IF(A402&lt;&gt;"line","",IF(O402="UNMAPPED","no mapping rule",IF(P402="L","low confidence","")))</f>
        <v/>
      </c>
      <c r="AE402" s="2">
        <f>IF(AD402&lt;&gt;"",MAX($AE$1:AE401)+1,"")</f>
        <v/>
      </c>
      <c r="AF402" s="2">
        <f>IF(A402="coverage",MAX($AF$1:AF401)+1,"")</f>
        <v/>
      </c>
      <c r="AG402" s="2">
        <f>IF(A402="line",IF(COUNTIFS($B$1:B401,B402,$C$1:C401,C402,$A$1:A401,"line")=0,MAX($AG$1:AG401)+1,""),"")</f>
        <v/>
      </c>
    </row>
    <row r="403">
      <c r="W403" s="2">
        <f>IF(A403="line",IF(D403="quote",E403,G403)&amp;"|"&amp;LOWER(TRIM(K403)),"")</f>
        <v/>
      </c>
      <c r="X403" s="2">
        <f>IF(OR(O403="LABOUR",O403="INSTALL"),"LABOUR_ALL",IF(O403="","",O403))</f>
        <v/>
      </c>
      <c r="Y403" s="9">
        <f>IF(AND(A403="line",D403="quote"),SUMIFS($N$2:$N$500,$W$2:$W$500,W403,$D$2:$D$500,"invoice",$A$2:$A$500,"line"),"")</f>
        <v/>
      </c>
      <c r="Z403" s="2">
        <f>IF(AND(A403="line",D403="quote"),COUNTIFS($W$2:$W$500,W403,$D$2:$D$500,"invoice",$A$2:$A$500,"line"),"")</f>
        <v/>
      </c>
      <c r="AA403" s="2">
        <f>IF(AND(A403="line",D403="invoice"),COUNTIFS($W$2:$W$500,W403,$D$2:$D$500,"quote",$A$2:$A$500,"line"),"")</f>
        <v/>
      </c>
      <c r="AB403" s="2">
        <f>IF(A403&lt;&gt;"line","",IF(D403="quote",IF(Z403=0,"quote only",IF(ABS(Y403-N403)&gt;Settings!$B$2,"amount differs","match")),IF(AA403=0,"invoice only","match")))</f>
        <v/>
      </c>
      <c r="AC403" s="2">
        <f>IF(AND(A403="line",AB403&lt;&gt;"match",COUNTIFS($A$2:$A$500,"coverage",$B$2:$B$500,B403,$C$2:$C$500,C403,$D$2:$D$500,"invoice")&gt;0),MAX($AC$1:AC402)+1,"")</f>
        <v/>
      </c>
      <c r="AD403" s="2">
        <f>IF(A403&lt;&gt;"line","",IF(O403="UNMAPPED","no mapping rule",IF(P403="L","low confidence","")))</f>
        <v/>
      </c>
      <c r="AE403" s="2">
        <f>IF(AD403&lt;&gt;"",MAX($AE$1:AE402)+1,"")</f>
        <v/>
      </c>
      <c r="AF403" s="2">
        <f>IF(A403="coverage",MAX($AF$1:AF402)+1,"")</f>
        <v/>
      </c>
      <c r="AG403" s="2">
        <f>IF(A403="line",IF(COUNTIFS($B$1:B402,B403,$C$1:C402,C403,$A$1:A402,"line")=0,MAX($AG$1:AG402)+1,""),"")</f>
        <v/>
      </c>
    </row>
    <row r="404">
      <c r="W404" s="2">
        <f>IF(A404="line",IF(D404="quote",E404,G404)&amp;"|"&amp;LOWER(TRIM(K404)),"")</f>
        <v/>
      </c>
      <c r="X404" s="2">
        <f>IF(OR(O404="LABOUR",O404="INSTALL"),"LABOUR_ALL",IF(O404="","",O404))</f>
        <v/>
      </c>
      <c r="Y404" s="9">
        <f>IF(AND(A404="line",D404="quote"),SUMIFS($N$2:$N$500,$W$2:$W$500,W404,$D$2:$D$500,"invoice",$A$2:$A$500,"line"),"")</f>
        <v/>
      </c>
      <c r="Z404" s="2">
        <f>IF(AND(A404="line",D404="quote"),COUNTIFS($W$2:$W$500,W404,$D$2:$D$500,"invoice",$A$2:$A$500,"line"),"")</f>
        <v/>
      </c>
      <c r="AA404" s="2">
        <f>IF(AND(A404="line",D404="invoice"),COUNTIFS($W$2:$W$500,W404,$D$2:$D$500,"quote",$A$2:$A$500,"line"),"")</f>
        <v/>
      </c>
      <c r="AB404" s="2">
        <f>IF(A404&lt;&gt;"line","",IF(D404="quote",IF(Z404=0,"quote only",IF(ABS(Y404-N404)&gt;Settings!$B$2,"amount differs","match")),IF(AA404=0,"invoice only","match")))</f>
        <v/>
      </c>
      <c r="AC404" s="2">
        <f>IF(AND(A404="line",AB404&lt;&gt;"match",COUNTIFS($A$2:$A$500,"coverage",$B$2:$B$500,B404,$C$2:$C$500,C404,$D$2:$D$500,"invoice")&gt;0),MAX($AC$1:AC403)+1,"")</f>
        <v/>
      </c>
      <c r="AD404" s="2">
        <f>IF(A404&lt;&gt;"line","",IF(O404="UNMAPPED","no mapping rule",IF(P404="L","low confidence","")))</f>
        <v/>
      </c>
      <c r="AE404" s="2">
        <f>IF(AD404&lt;&gt;"",MAX($AE$1:AE403)+1,"")</f>
        <v/>
      </c>
      <c r="AF404" s="2">
        <f>IF(A404="coverage",MAX($AF$1:AF403)+1,"")</f>
        <v/>
      </c>
      <c r="AG404" s="2">
        <f>IF(A404="line",IF(COUNTIFS($B$1:B403,B404,$C$1:C403,C404,$A$1:A403,"line")=0,MAX($AG$1:AG403)+1,""),"")</f>
        <v/>
      </c>
    </row>
    <row r="405">
      <c r="W405" s="2">
        <f>IF(A405="line",IF(D405="quote",E405,G405)&amp;"|"&amp;LOWER(TRIM(K405)),"")</f>
        <v/>
      </c>
      <c r="X405" s="2">
        <f>IF(OR(O405="LABOUR",O405="INSTALL"),"LABOUR_ALL",IF(O405="","",O405))</f>
        <v/>
      </c>
      <c r="Y405" s="9">
        <f>IF(AND(A405="line",D405="quote"),SUMIFS($N$2:$N$500,$W$2:$W$500,W405,$D$2:$D$500,"invoice",$A$2:$A$500,"line"),"")</f>
        <v/>
      </c>
      <c r="Z405" s="2">
        <f>IF(AND(A405="line",D405="quote"),COUNTIFS($W$2:$W$500,W405,$D$2:$D$500,"invoice",$A$2:$A$500,"line"),"")</f>
        <v/>
      </c>
      <c r="AA405" s="2">
        <f>IF(AND(A405="line",D405="invoice"),COUNTIFS($W$2:$W$500,W405,$D$2:$D$500,"quote",$A$2:$A$500,"line"),"")</f>
        <v/>
      </c>
      <c r="AB405" s="2">
        <f>IF(A405&lt;&gt;"line","",IF(D405="quote",IF(Z405=0,"quote only",IF(ABS(Y405-N405)&gt;Settings!$B$2,"amount differs","match")),IF(AA405=0,"invoice only","match")))</f>
        <v/>
      </c>
      <c r="AC405" s="2">
        <f>IF(AND(A405="line",AB405&lt;&gt;"match",COUNTIFS($A$2:$A$500,"coverage",$B$2:$B$500,B405,$C$2:$C$500,C405,$D$2:$D$500,"invoice")&gt;0),MAX($AC$1:AC404)+1,"")</f>
        <v/>
      </c>
      <c r="AD405" s="2">
        <f>IF(A405&lt;&gt;"line","",IF(O405="UNMAPPED","no mapping rule",IF(P405="L","low confidence","")))</f>
        <v/>
      </c>
      <c r="AE405" s="2">
        <f>IF(AD405&lt;&gt;"",MAX($AE$1:AE404)+1,"")</f>
        <v/>
      </c>
      <c r="AF405" s="2">
        <f>IF(A405="coverage",MAX($AF$1:AF404)+1,"")</f>
        <v/>
      </c>
      <c r="AG405" s="2">
        <f>IF(A405="line",IF(COUNTIFS($B$1:B404,B405,$C$1:C404,C405,$A$1:A404,"line")=0,MAX($AG$1:AG404)+1,""),"")</f>
        <v/>
      </c>
    </row>
    <row r="406">
      <c r="W406" s="2">
        <f>IF(A406="line",IF(D406="quote",E406,G406)&amp;"|"&amp;LOWER(TRIM(K406)),"")</f>
        <v/>
      </c>
      <c r="X406" s="2">
        <f>IF(OR(O406="LABOUR",O406="INSTALL"),"LABOUR_ALL",IF(O406="","",O406))</f>
        <v/>
      </c>
      <c r="Y406" s="9">
        <f>IF(AND(A406="line",D406="quote"),SUMIFS($N$2:$N$500,$W$2:$W$500,W406,$D$2:$D$500,"invoice",$A$2:$A$500,"line"),"")</f>
        <v/>
      </c>
      <c r="Z406" s="2">
        <f>IF(AND(A406="line",D406="quote"),COUNTIFS($W$2:$W$500,W406,$D$2:$D$500,"invoice",$A$2:$A$500,"line"),"")</f>
        <v/>
      </c>
      <c r="AA406" s="2">
        <f>IF(AND(A406="line",D406="invoice"),COUNTIFS($W$2:$W$500,W406,$D$2:$D$500,"quote",$A$2:$A$500,"line"),"")</f>
        <v/>
      </c>
      <c r="AB406" s="2">
        <f>IF(A406&lt;&gt;"line","",IF(D406="quote",IF(Z406=0,"quote only",IF(ABS(Y406-N406)&gt;Settings!$B$2,"amount differs","match")),IF(AA406=0,"invoice only","match")))</f>
        <v/>
      </c>
      <c r="AC406" s="2">
        <f>IF(AND(A406="line",AB406&lt;&gt;"match",COUNTIFS($A$2:$A$500,"coverage",$B$2:$B$500,B406,$C$2:$C$500,C406,$D$2:$D$500,"invoice")&gt;0),MAX($AC$1:AC405)+1,"")</f>
        <v/>
      </c>
      <c r="AD406" s="2">
        <f>IF(A406&lt;&gt;"line","",IF(O406="UNMAPPED","no mapping rule",IF(P406="L","low confidence","")))</f>
        <v/>
      </c>
      <c r="AE406" s="2">
        <f>IF(AD406&lt;&gt;"",MAX($AE$1:AE405)+1,"")</f>
        <v/>
      </c>
      <c r="AF406" s="2">
        <f>IF(A406="coverage",MAX($AF$1:AF405)+1,"")</f>
        <v/>
      </c>
      <c r="AG406" s="2">
        <f>IF(A406="line",IF(COUNTIFS($B$1:B405,B406,$C$1:C405,C406,$A$1:A405,"line")=0,MAX($AG$1:AG405)+1,""),"")</f>
        <v/>
      </c>
    </row>
    <row r="407">
      <c r="W407" s="2">
        <f>IF(A407="line",IF(D407="quote",E407,G407)&amp;"|"&amp;LOWER(TRIM(K407)),"")</f>
        <v/>
      </c>
      <c r="X407" s="2">
        <f>IF(OR(O407="LABOUR",O407="INSTALL"),"LABOUR_ALL",IF(O407="","",O407))</f>
        <v/>
      </c>
      <c r="Y407" s="9">
        <f>IF(AND(A407="line",D407="quote"),SUMIFS($N$2:$N$500,$W$2:$W$500,W407,$D$2:$D$500,"invoice",$A$2:$A$500,"line"),"")</f>
        <v/>
      </c>
      <c r="Z407" s="2">
        <f>IF(AND(A407="line",D407="quote"),COUNTIFS($W$2:$W$500,W407,$D$2:$D$500,"invoice",$A$2:$A$500,"line"),"")</f>
        <v/>
      </c>
      <c r="AA407" s="2">
        <f>IF(AND(A407="line",D407="invoice"),COUNTIFS($W$2:$W$500,W407,$D$2:$D$500,"quote",$A$2:$A$500,"line"),"")</f>
        <v/>
      </c>
      <c r="AB407" s="2">
        <f>IF(A407&lt;&gt;"line","",IF(D407="quote",IF(Z407=0,"quote only",IF(ABS(Y407-N407)&gt;Settings!$B$2,"amount differs","match")),IF(AA407=0,"invoice only","match")))</f>
        <v/>
      </c>
      <c r="AC407" s="2">
        <f>IF(AND(A407="line",AB407&lt;&gt;"match",COUNTIFS($A$2:$A$500,"coverage",$B$2:$B$500,B407,$C$2:$C$500,C407,$D$2:$D$500,"invoice")&gt;0),MAX($AC$1:AC406)+1,"")</f>
        <v/>
      </c>
      <c r="AD407" s="2">
        <f>IF(A407&lt;&gt;"line","",IF(O407="UNMAPPED","no mapping rule",IF(P407="L","low confidence","")))</f>
        <v/>
      </c>
      <c r="AE407" s="2">
        <f>IF(AD407&lt;&gt;"",MAX($AE$1:AE406)+1,"")</f>
        <v/>
      </c>
      <c r="AF407" s="2">
        <f>IF(A407="coverage",MAX($AF$1:AF406)+1,"")</f>
        <v/>
      </c>
      <c r="AG407" s="2">
        <f>IF(A407="line",IF(COUNTIFS($B$1:B406,B407,$C$1:C406,C407,$A$1:A406,"line")=0,MAX($AG$1:AG406)+1,""),"")</f>
        <v/>
      </c>
    </row>
    <row r="408">
      <c r="W408" s="2">
        <f>IF(A408="line",IF(D408="quote",E408,G408)&amp;"|"&amp;LOWER(TRIM(K408)),"")</f>
        <v/>
      </c>
      <c r="X408" s="2">
        <f>IF(OR(O408="LABOUR",O408="INSTALL"),"LABOUR_ALL",IF(O408="","",O408))</f>
        <v/>
      </c>
      <c r="Y408" s="9">
        <f>IF(AND(A408="line",D408="quote"),SUMIFS($N$2:$N$500,$W$2:$W$500,W408,$D$2:$D$500,"invoice",$A$2:$A$500,"line"),"")</f>
        <v/>
      </c>
      <c r="Z408" s="2">
        <f>IF(AND(A408="line",D408="quote"),COUNTIFS($W$2:$W$500,W408,$D$2:$D$500,"invoice",$A$2:$A$500,"line"),"")</f>
        <v/>
      </c>
      <c r="AA408" s="2">
        <f>IF(AND(A408="line",D408="invoice"),COUNTIFS($W$2:$W$500,W408,$D$2:$D$500,"quote",$A$2:$A$500,"line"),"")</f>
        <v/>
      </c>
      <c r="AB408" s="2">
        <f>IF(A408&lt;&gt;"line","",IF(D408="quote",IF(Z408=0,"quote only",IF(ABS(Y408-N408)&gt;Settings!$B$2,"amount differs","match")),IF(AA408=0,"invoice only","match")))</f>
        <v/>
      </c>
      <c r="AC408" s="2">
        <f>IF(AND(A408="line",AB408&lt;&gt;"match",COUNTIFS($A$2:$A$500,"coverage",$B$2:$B$500,B408,$C$2:$C$500,C408,$D$2:$D$500,"invoice")&gt;0),MAX($AC$1:AC407)+1,"")</f>
        <v/>
      </c>
      <c r="AD408" s="2">
        <f>IF(A408&lt;&gt;"line","",IF(O408="UNMAPPED","no mapping rule",IF(P408="L","low confidence","")))</f>
        <v/>
      </c>
      <c r="AE408" s="2">
        <f>IF(AD408&lt;&gt;"",MAX($AE$1:AE407)+1,"")</f>
        <v/>
      </c>
      <c r="AF408" s="2">
        <f>IF(A408="coverage",MAX($AF$1:AF407)+1,"")</f>
        <v/>
      </c>
      <c r="AG408" s="2">
        <f>IF(A408="line",IF(COUNTIFS($B$1:B407,B408,$C$1:C407,C408,$A$1:A407,"line")=0,MAX($AG$1:AG407)+1,""),"")</f>
        <v/>
      </c>
    </row>
    <row r="409">
      <c r="W409" s="2">
        <f>IF(A409="line",IF(D409="quote",E409,G409)&amp;"|"&amp;LOWER(TRIM(K409)),"")</f>
        <v/>
      </c>
      <c r="X409" s="2">
        <f>IF(OR(O409="LABOUR",O409="INSTALL"),"LABOUR_ALL",IF(O409="","",O409))</f>
        <v/>
      </c>
      <c r="Y409" s="9">
        <f>IF(AND(A409="line",D409="quote"),SUMIFS($N$2:$N$500,$W$2:$W$500,W409,$D$2:$D$500,"invoice",$A$2:$A$500,"line"),"")</f>
        <v/>
      </c>
      <c r="Z409" s="2">
        <f>IF(AND(A409="line",D409="quote"),COUNTIFS($W$2:$W$500,W409,$D$2:$D$500,"invoice",$A$2:$A$500,"line"),"")</f>
        <v/>
      </c>
      <c r="AA409" s="2">
        <f>IF(AND(A409="line",D409="invoice"),COUNTIFS($W$2:$W$500,W409,$D$2:$D$500,"quote",$A$2:$A$500,"line"),"")</f>
        <v/>
      </c>
      <c r="AB409" s="2">
        <f>IF(A409&lt;&gt;"line","",IF(D409="quote",IF(Z409=0,"quote only",IF(ABS(Y409-N409)&gt;Settings!$B$2,"amount differs","match")),IF(AA409=0,"invoice only","match")))</f>
        <v/>
      </c>
      <c r="AC409" s="2">
        <f>IF(AND(A409="line",AB409&lt;&gt;"match",COUNTIFS($A$2:$A$500,"coverage",$B$2:$B$500,B409,$C$2:$C$500,C409,$D$2:$D$500,"invoice")&gt;0),MAX($AC$1:AC408)+1,"")</f>
        <v/>
      </c>
      <c r="AD409" s="2">
        <f>IF(A409&lt;&gt;"line","",IF(O409="UNMAPPED","no mapping rule",IF(P409="L","low confidence","")))</f>
        <v/>
      </c>
      <c r="AE409" s="2">
        <f>IF(AD409&lt;&gt;"",MAX($AE$1:AE408)+1,"")</f>
        <v/>
      </c>
      <c r="AF409" s="2">
        <f>IF(A409="coverage",MAX($AF$1:AF408)+1,"")</f>
        <v/>
      </c>
      <c r="AG409" s="2">
        <f>IF(A409="line",IF(COUNTIFS($B$1:B408,B409,$C$1:C408,C409,$A$1:A408,"line")=0,MAX($AG$1:AG408)+1,""),"")</f>
        <v/>
      </c>
    </row>
    <row r="410">
      <c r="W410" s="2">
        <f>IF(A410="line",IF(D410="quote",E410,G410)&amp;"|"&amp;LOWER(TRIM(K410)),"")</f>
        <v/>
      </c>
      <c r="X410" s="2">
        <f>IF(OR(O410="LABOUR",O410="INSTALL"),"LABOUR_ALL",IF(O410="","",O410))</f>
        <v/>
      </c>
      <c r="Y410" s="9">
        <f>IF(AND(A410="line",D410="quote"),SUMIFS($N$2:$N$500,$W$2:$W$500,W410,$D$2:$D$500,"invoice",$A$2:$A$500,"line"),"")</f>
        <v/>
      </c>
      <c r="Z410" s="2">
        <f>IF(AND(A410="line",D410="quote"),COUNTIFS($W$2:$W$500,W410,$D$2:$D$500,"invoice",$A$2:$A$500,"line"),"")</f>
        <v/>
      </c>
      <c r="AA410" s="2">
        <f>IF(AND(A410="line",D410="invoice"),COUNTIFS($W$2:$W$500,W410,$D$2:$D$500,"quote",$A$2:$A$500,"line"),"")</f>
        <v/>
      </c>
      <c r="AB410" s="2">
        <f>IF(A410&lt;&gt;"line","",IF(D410="quote",IF(Z410=0,"quote only",IF(ABS(Y410-N410)&gt;Settings!$B$2,"amount differs","match")),IF(AA410=0,"invoice only","match")))</f>
        <v/>
      </c>
      <c r="AC410" s="2">
        <f>IF(AND(A410="line",AB410&lt;&gt;"match",COUNTIFS($A$2:$A$500,"coverage",$B$2:$B$500,B410,$C$2:$C$500,C410,$D$2:$D$500,"invoice")&gt;0),MAX($AC$1:AC409)+1,"")</f>
        <v/>
      </c>
      <c r="AD410" s="2">
        <f>IF(A410&lt;&gt;"line","",IF(O410="UNMAPPED","no mapping rule",IF(P410="L","low confidence","")))</f>
        <v/>
      </c>
      <c r="AE410" s="2">
        <f>IF(AD410&lt;&gt;"",MAX($AE$1:AE409)+1,"")</f>
        <v/>
      </c>
      <c r="AF410" s="2">
        <f>IF(A410="coverage",MAX($AF$1:AF409)+1,"")</f>
        <v/>
      </c>
      <c r="AG410" s="2">
        <f>IF(A410="line",IF(COUNTIFS($B$1:B409,B410,$C$1:C409,C410,$A$1:A409,"line")=0,MAX($AG$1:AG409)+1,""),"")</f>
        <v/>
      </c>
    </row>
    <row r="411">
      <c r="W411" s="2">
        <f>IF(A411="line",IF(D411="quote",E411,G411)&amp;"|"&amp;LOWER(TRIM(K411)),"")</f>
        <v/>
      </c>
      <c r="X411" s="2">
        <f>IF(OR(O411="LABOUR",O411="INSTALL"),"LABOUR_ALL",IF(O411="","",O411))</f>
        <v/>
      </c>
      <c r="Y411" s="9">
        <f>IF(AND(A411="line",D411="quote"),SUMIFS($N$2:$N$500,$W$2:$W$500,W411,$D$2:$D$500,"invoice",$A$2:$A$500,"line"),"")</f>
        <v/>
      </c>
      <c r="Z411" s="2">
        <f>IF(AND(A411="line",D411="quote"),COUNTIFS($W$2:$W$500,W411,$D$2:$D$500,"invoice",$A$2:$A$500,"line"),"")</f>
        <v/>
      </c>
      <c r="AA411" s="2">
        <f>IF(AND(A411="line",D411="invoice"),COUNTIFS($W$2:$W$500,W411,$D$2:$D$500,"quote",$A$2:$A$500,"line"),"")</f>
        <v/>
      </c>
      <c r="AB411" s="2">
        <f>IF(A411&lt;&gt;"line","",IF(D411="quote",IF(Z411=0,"quote only",IF(ABS(Y411-N411)&gt;Settings!$B$2,"amount differs","match")),IF(AA411=0,"invoice only","match")))</f>
        <v/>
      </c>
      <c r="AC411" s="2">
        <f>IF(AND(A411="line",AB411&lt;&gt;"match",COUNTIFS($A$2:$A$500,"coverage",$B$2:$B$500,B411,$C$2:$C$500,C411,$D$2:$D$500,"invoice")&gt;0),MAX($AC$1:AC410)+1,"")</f>
        <v/>
      </c>
      <c r="AD411" s="2">
        <f>IF(A411&lt;&gt;"line","",IF(O411="UNMAPPED","no mapping rule",IF(P411="L","low confidence","")))</f>
        <v/>
      </c>
      <c r="AE411" s="2">
        <f>IF(AD411&lt;&gt;"",MAX($AE$1:AE410)+1,"")</f>
        <v/>
      </c>
      <c r="AF411" s="2">
        <f>IF(A411="coverage",MAX($AF$1:AF410)+1,"")</f>
        <v/>
      </c>
      <c r="AG411" s="2">
        <f>IF(A411="line",IF(COUNTIFS($B$1:B410,B411,$C$1:C410,C411,$A$1:A410,"line")=0,MAX($AG$1:AG410)+1,""),"")</f>
        <v/>
      </c>
    </row>
    <row r="412">
      <c r="W412" s="2">
        <f>IF(A412="line",IF(D412="quote",E412,G412)&amp;"|"&amp;LOWER(TRIM(K412)),"")</f>
        <v/>
      </c>
      <c r="X412" s="2">
        <f>IF(OR(O412="LABOUR",O412="INSTALL"),"LABOUR_ALL",IF(O412="","",O412))</f>
        <v/>
      </c>
      <c r="Y412" s="9">
        <f>IF(AND(A412="line",D412="quote"),SUMIFS($N$2:$N$500,$W$2:$W$500,W412,$D$2:$D$500,"invoice",$A$2:$A$500,"line"),"")</f>
        <v/>
      </c>
      <c r="Z412" s="2">
        <f>IF(AND(A412="line",D412="quote"),COUNTIFS($W$2:$W$500,W412,$D$2:$D$500,"invoice",$A$2:$A$500,"line"),"")</f>
        <v/>
      </c>
      <c r="AA412" s="2">
        <f>IF(AND(A412="line",D412="invoice"),COUNTIFS($W$2:$W$500,W412,$D$2:$D$500,"quote",$A$2:$A$500,"line"),"")</f>
        <v/>
      </c>
      <c r="AB412" s="2">
        <f>IF(A412&lt;&gt;"line","",IF(D412="quote",IF(Z412=0,"quote only",IF(ABS(Y412-N412)&gt;Settings!$B$2,"amount differs","match")),IF(AA412=0,"invoice only","match")))</f>
        <v/>
      </c>
      <c r="AC412" s="2">
        <f>IF(AND(A412="line",AB412&lt;&gt;"match",COUNTIFS($A$2:$A$500,"coverage",$B$2:$B$500,B412,$C$2:$C$500,C412,$D$2:$D$500,"invoice")&gt;0),MAX($AC$1:AC411)+1,"")</f>
        <v/>
      </c>
      <c r="AD412" s="2">
        <f>IF(A412&lt;&gt;"line","",IF(O412="UNMAPPED","no mapping rule",IF(P412="L","low confidence","")))</f>
        <v/>
      </c>
      <c r="AE412" s="2">
        <f>IF(AD412&lt;&gt;"",MAX($AE$1:AE411)+1,"")</f>
        <v/>
      </c>
      <c r="AF412" s="2">
        <f>IF(A412="coverage",MAX($AF$1:AF411)+1,"")</f>
        <v/>
      </c>
      <c r="AG412" s="2">
        <f>IF(A412="line",IF(COUNTIFS($B$1:B411,B412,$C$1:C411,C412,$A$1:A411,"line")=0,MAX($AG$1:AG411)+1,""),"")</f>
        <v/>
      </c>
    </row>
    <row r="413">
      <c r="W413" s="2">
        <f>IF(A413="line",IF(D413="quote",E413,G413)&amp;"|"&amp;LOWER(TRIM(K413)),"")</f>
        <v/>
      </c>
      <c r="X413" s="2">
        <f>IF(OR(O413="LABOUR",O413="INSTALL"),"LABOUR_ALL",IF(O413="","",O413))</f>
        <v/>
      </c>
      <c r="Y413" s="9">
        <f>IF(AND(A413="line",D413="quote"),SUMIFS($N$2:$N$500,$W$2:$W$500,W413,$D$2:$D$500,"invoice",$A$2:$A$500,"line"),"")</f>
        <v/>
      </c>
      <c r="Z413" s="2">
        <f>IF(AND(A413="line",D413="quote"),COUNTIFS($W$2:$W$500,W413,$D$2:$D$500,"invoice",$A$2:$A$500,"line"),"")</f>
        <v/>
      </c>
      <c r="AA413" s="2">
        <f>IF(AND(A413="line",D413="invoice"),COUNTIFS($W$2:$W$500,W413,$D$2:$D$500,"quote",$A$2:$A$500,"line"),"")</f>
        <v/>
      </c>
      <c r="AB413" s="2">
        <f>IF(A413&lt;&gt;"line","",IF(D413="quote",IF(Z413=0,"quote only",IF(ABS(Y413-N413)&gt;Settings!$B$2,"amount differs","match")),IF(AA413=0,"invoice only","match")))</f>
        <v/>
      </c>
      <c r="AC413" s="2">
        <f>IF(AND(A413="line",AB413&lt;&gt;"match",COUNTIFS($A$2:$A$500,"coverage",$B$2:$B$500,B413,$C$2:$C$500,C413,$D$2:$D$500,"invoice")&gt;0),MAX($AC$1:AC412)+1,"")</f>
        <v/>
      </c>
      <c r="AD413" s="2">
        <f>IF(A413&lt;&gt;"line","",IF(O413="UNMAPPED","no mapping rule",IF(P413="L","low confidence","")))</f>
        <v/>
      </c>
      <c r="AE413" s="2">
        <f>IF(AD413&lt;&gt;"",MAX($AE$1:AE412)+1,"")</f>
        <v/>
      </c>
      <c r="AF413" s="2">
        <f>IF(A413="coverage",MAX($AF$1:AF412)+1,"")</f>
        <v/>
      </c>
      <c r="AG413" s="2">
        <f>IF(A413="line",IF(COUNTIFS($B$1:B412,B413,$C$1:C412,C413,$A$1:A412,"line")=0,MAX($AG$1:AG412)+1,""),"")</f>
        <v/>
      </c>
    </row>
    <row r="414">
      <c r="W414" s="2">
        <f>IF(A414="line",IF(D414="quote",E414,G414)&amp;"|"&amp;LOWER(TRIM(K414)),"")</f>
        <v/>
      </c>
      <c r="X414" s="2">
        <f>IF(OR(O414="LABOUR",O414="INSTALL"),"LABOUR_ALL",IF(O414="","",O414))</f>
        <v/>
      </c>
      <c r="Y414" s="9">
        <f>IF(AND(A414="line",D414="quote"),SUMIFS($N$2:$N$500,$W$2:$W$500,W414,$D$2:$D$500,"invoice",$A$2:$A$500,"line"),"")</f>
        <v/>
      </c>
      <c r="Z414" s="2">
        <f>IF(AND(A414="line",D414="quote"),COUNTIFS($W$2:$W$500,W414,$D$2:$D$500,"invoice",$A$2:$A$500,"line"),"")</f>
        <v/>
      </c>
      <c r="AA414" s="2">
        <f>IF(AND(A414="line",D414="invoice"),COUNTIFS($W$2:$W$500,W414,$D$2:$D$500,"quote",$A$2:$A$500,"line"),"")</f>
        <v/>
      </c>
      <c r="AB414" s="2">
        <f>IF(A414&lt;&gt;"line","",IF(D414="quote",IF(Z414=0,"quote only",IF(ABS(Y414-N414)&gt;Settings!$B$2,"amount differs","match")),IF(AA414=0,"invoice only","match")))</f>
        <v/>
      </c>
      <c r="AC414" s="2">
        <f>IF(AND(A414="line",AB414&lt;&gt;"match",COUNTIFS($A$2:$A$500,"coverage",$B$2:$B$500,B414,$C$2:$C$500,C414,$D$2:$D$500,"invoice")&gt;0),MAX($AC$1:AC413)+1,"")</f>
        <v/>
      </c>
      <c r="AD414" s="2">
        <f>IF(A414&lt;&gt;"line","",IF(O414="UNMAPPED","no mapping rule",IF(P414="L","low confidence","")))</f>
        <v/>
      </c>
      <c r="AE414" s="2">
        <f>IF(AD414&lt;&gt;"",MAX($AE$1:AE413)+1,"")</f>
        <v/>
      </c>
      <c r="AF414" s="2">
        <f>IF(A414="coverage",MAX($AF$1:AF413)+1,"")</f>
        <v/>
      </c>
      <c r="AG414" s="2">
        <f>IF(A414="line",IF(COUNTIFS($B$1:B413,B414,$C$1:C413,C414,$A$1:A413,"line")=0,MAX($AG$1:AG413)+1,""),"")</f>
        <v/>
      </c>
    </row>
    <row r="415">
      <c r="W415" s="2">
        <f>IF(A415="line",IF(D415="quote",E415,G415)&amp;"|"&amp;LOWER(TRIM(K415)),"")</f>
        <v/>
      </c>
      <c r="X415" s="2">
        <f>IF(OR(O415="LABOUR",O415="INSTALL"),"LABOUR_ALL",IF(O415="","",O415))</f>
        <v/>
      </c>
      <c r="Y415" s="9">
        <f>IF(AND(A415="line",D415="quote"),SUMIFS($N$2:$N$500,$W$2:$W$500,W415,$D$2:$D$500,"invoice",$A$2:$A$500,"line"),"")</f>
        <v/>
      </c>
      <c r="Z415" s="2">
        <f>IF(AND(A415="line",D415="quote"),COUNTIFS($W$2:$W$500,W415,$D$2:$D$500,"invoice",$A$2:$A$500,"line"),"")</f>
        <v/>
      </c>
      <c r="AA415" s="2">
        <f>IF(AND(A415="line",D415="invoice"),COUNTIFS($W$2:$W$500,W415,$D$2:$D$500,"quote",$A$2:$A$500,"line"),"")</f>
        <v/>
      </c>
      <c r="AB415" s="2">
        <f>IF(A415&lt;&gt;"line","",IF(D415="quote",IF(Z415=0,"quote only",IF(ABS(Y415-N415)&gt;Settings!$B$2,"amount differs","match")),IF(AA415=0,"invoice only","match")))</f>
        <v/>
      </c>
      <c r="AC415" s="2">
        <f>IF(AND(A415="line",AB415&lt;&gt;"match",COUNTIFS($A$2:$A$500,"coverage",$B$2:$B$500,B415,$C$2:$C$500,C415,$D$2:$D$500,"invoice")&gt;0),MAX($AC$1:AC414)+1,"")</f>
        <v/>
      </c>
      <c r="AD415" s="2">
        <f>IF(A415&lt;&gt;"line","",IF(O415="UNMAPPED","no mapping rule",IF(P415="L","low confidence","")))</f>
        <v/>
      </c>
      <c r="AE415" s="2">
        <f>IF(AD415&lt;&gt;"",MAX($AE$1:AE414)+1,"")</f>
        <v/>
      </c>
      <c r="AF415" s="2">
        <f>IF(A415="coverage",MAX($AF$1:AF414)+1,"")</f>
        <v/>
      </c>
      <c r="AG415" s="2">
        <f>IF(A415="line",IF(COUNTIFS($B$1:B414,B415,$C$1:C414,C415,$A$1:A414,"line")=0,MAX($AG$1:AG414)+1,""),"")</f>
        <v/>
      </c>
    </row>
    <row r="416">
      <c r="W416" s="2">
        <f>IF(A416="line",IF(D416="quote",E416,G416)&amp;"|"&amp;LOWER(TRIM(K416)),"")</f>
        <v/>
      </c>
      <c r="X416" s="2">
        <f>IF(OR(O416="LABOUR",O416="INSTALL"),"LABOUR_ALL",IF(O416="","",O416))</f>
        <v/>
      </c>
      <c r="Y416" s="9">
        <f>IF(AND(A416="line",D416="quote"),SUMIFS($N$2:$N$500,$W$2:$W$500,W416,$D$2:$D$500,"invoice",$A$2:$A$500,"line"),"")</f>
        <v/>
      </c>
      <c r="Z416" s="2">
        <f>IF(AND(A416="line",D416="quote"),COUNTIFS($W$2:$W$500,W416,$D$2:$D$500,"invoice",$A$2:$A$500,"line"),"")</f>
        <v/>
      </c>
      <c r="AA416" s="2">
        <f>IF(AND(A416="line",D416="invoice"),COUNTIFS($W$2:$W$500,W416,$D$2:$D$500,"quote",$A$2:$A$500,"line"),"")</f>
        <v/>
      </c>
      <c r="AB416" s="2">
        <f>IF(A416&lt;&gt;"line","",IF(D416="quote",IF(Z416=0,"quote only",IF(ABS(Y416-N416)&gt;Settings!$B$2,"amount differs","match")),IF(AA416=0,"invoice only","match")))</f>
        <v/>
      </c>
      <c r="AC416" s="2">
        <f>IF(AND(A416="line",AB416&lt;&gt;"match",COUNTIFS($A$2:$A$500,"coverage",$B$2:$B$500,B416,$C$2:$C$500,C416,$D$2:$D$500,"invoice")&gt;0),MAX($AC$1:AC415)+1,"")</f>
        <v/>
      </c>
      <c r="AD416" s="2">
        <f>IF(A416&lt;&gt;"line","",IF(O416="UNMAPPED","no mapping rule",IF(P416="L","low confidence","")))</f>
        <v/>
      </c>
      <c r="AE416" s="2">
        <f>IF(AD416&lt;&gt;"",MAX($AE$1:AE415)+1,"")</f>
        <v/>
      </c>
      <c r="AF416" s="2">
        <f>IF(A416="coverage",MAX($AF$1:AF415)+1,"")</f>
        <v/>
      </c>
      <c r="AG416" s="2">
        <f>IF(A416="line",IF(COUNTIFS($B$1:B415,B416,$C$1:C415,C416,$A$1:A415,"line")=0,MAX($AG$1:AG415)+1,""),"")</f>
        <v/>
      </c>
    </row>
    <row r="417">
      <c r="W417" s="2">
        <f>IF(A417="line",IF(D417="quote",E417,G417)&amp;"|"&amp;LOWER(TRIM(K417)),"")</f>
        <v/>
      </c>
      <c r="X417" s="2">
        <f>IF(OR(O417="LABOUR",O417="INSTALL"),"LABOUR_ALL",IF(O417="","",O417))</f>
        <v/>
      </c>
      <c r="Y417" s="9">
        <f>IF(AND(A417="line",D417="quote"),SUMIFS($N$2:$N$500,$W$2:$W$500,W417,$D$2:$D$500,"invoice",$A$2:$A$500,"line"),"")</f>
        <v/>
      </c>
      <c r="Z417" s="2">
        <f>IF(AND(A417="line",D417="quote"),COUNTIFS($W$2:$W$500,W417,$D$2:$D$500,"invoice",$A$2:$A$500,"line"),"")</f>
        <v/>
      </c>
      <c r="AA417" s="2">
        <f>IF(AND(A417="line",D417="invoice"),COUNTIFS($W$2:$W$500,W417,$D$2:$D$500,"quote",$A$2:$A$500,"line"),"")</f>
        <v/>
      </c>
      <c r="AB417" s="2">
        <f>IF(A417&lt;&gt;"line","",IF(D417="quote",IF(Z417=0,"quote only",IF(ABS(Y417-N417)&gt;Settings!$B$2,"amount differs","match")),IF(AA417=0,"invoice only","match")))</f>
        <v/>
      </c>
      <c r="AC417" s="2">
        <f>IF(AND(A417="line",AB417&lt;&gt;"match",COUNTIFS($A$2:$A$500,"coverage",$B$2:$B$500,B417,$C$2:$C$500,C417,$D$2:$D$500,"invoice")&gt;0),MAX($AC$1:AC416)+1,"")</f>
        <v/>
      </c>
      <c r="AD417" s="2">
        <f>IF(A417&lt;&gt;"line","",IF(O417="UNMAPPED","no mapping rule",IF(P417="L","low confidence","")))</f>
        <v/>
      </c>
      <c r="AE417" s="2">
        <f>IF(AD417&lt;&gt;"",MAX($AE$1:AE416)+1,"")</f>
        <v/>
      </c>
      <c r="AF417" s="2">
        <f>IF(A417="coverage",MAX($AF$1:AF416)+1,"")</f>
        <v/>
      </c>
      <c r="AG417" s="2">
        <f>IF(A417="line",IF(COUNTIFS($B$1:B416,B417,$C$1:C416,C417,$A$1:A416,"line")=0,MAX($AG$1:AG416)+1,""),"")</f>
        <v/>
      </c>
    </row>
    <row r="418">
      <c r="W418" s="2">
        <f>IF(A418="line",IF(D418="quote",E418,G418)&amp;"|"&amp;LOWER(TRIM(K418)),"")</f>
        <v/>
      </c>
      <c r="X418" s="2">
        <f>IF(OR(O418="LABOUR",O418="INSTALL"),"LABOUR_ALL",IF(O418="","",O418))</f>
        <v/>
      </c>
      <c r="Y418" s="9">
        <f>IF(AND(A418="line",D418="quote"),SUMIFS($N$2:$N$500,$W$2:$W$500,W418,$D$2:$D$500,"invoice",$A$2:$A$500,"line"),"")</f>
        <v/>
      </c>
      <c r="Z418" s="2">
        <f>IF(AND(A418="line",D418="quote"),COUNTIFS($W$2:$W$500,W418,$D$2:$D$500,"invoice",$A$2:$A$500,"line"),"")</f>
        <v/>
      </c>
      <c r="AA418" s="2">
        <f>IF(AND(A418="line",D418="invoice"),COUNTIFS($W$2:$W$500,W418,$D$2:$D$500,"quote",$A$2:$A$500,"line"),"")</f>
        <v/>
      </c>
      <c r="AB418" s="2">
        <f>IF(A418&lt;&gt;"line","",IF(D418="quote",IF(Z418=0,"quote only",IF(ABS(Y418-N418)&gt;Settings!$B$2,"amount differs","match")),IF(AA418=0,"invoice only","match")))</f>
        <v/>
      </c>
      <c r="AC418" s="2">
        <f>IF(AND(A418="line",AB418&lt;&gt;"match",COUNTIFS($A$2:$A$500,"coverage",$B$2:$B$500,B418,$C$2:$C$500,C418,$D$2:$D$500,"invoice")&gt;0),MAX($AC$1:AC417)+1,"")</f>
        <v/>
      </c>
      <c r="AD418" s="2">
        <f>IF(A418&lt;&gt;"line","",IF(O418="UNMAPPED","no mapping rule",IF(P418="L","low confidence","")))</f>
        <v/>
      </c>
      <c r="AE418" s="2">
        <f>IF(AD418&lt;&gt;"",MAX($AE$1:AE417)+1,"")</f>
        <v/>
      </c>
      <c r="AF418" s="2">
        <f>IF(A418="coverage",MAX($AF$1:AF417)+1,"")</f>
        <v/>
      </c>
      <c r="AG418" s="2">
        <f>IF(A418="line",IF(COUNTIFS($B$1:B417,B418,$C$1:C417,C418,$A$1:A417,"line")=0,MAX($AG$1:AG417)+1,""),"")</f>
        <v/>
      </c>
    </row>
    <row r="419">
      <c r="W419" s="2">
        <f>IF(A419="line",IF(D419="quote",E419,G419)&amp;"|"&amp;LOWER(TRIM(K419)),"")</f>
        <v/>
      </c>
      <c r="X419" s="2">
        <f>IF(OR(O419="LABOUR",O419="INSTALL"),"LABOUR_ALL",IF(O419="","",O419))</f>
        <v/>
      </c>
      <c r="Y419" s="9">
        <f>IF(AND(A419="line",D419="quote"),SUMIFS($N$2:$N$500,$W$2:$W$500,W419,$D$2:$D$500,"invoice",$A$2:$A$500,"line"),"")</f>
        <v/>
      </c>
      <c r="Z419" s="2">
        <f>IF(AND(A419="line",D419="quote"),COUNTIFS($W$2:$W$500,W419,$D$2:$D$500,"invoice",$A$2:$A$500,"line"),"")</f>
        <v/>
      </c>
      <c r="AA419" s="2">
        <f>IF(AND(A419="line",D419="invoice"),COUNTIFS($W$2:$W$500,W419,$D$2:$D$500,"quote",$A$2:$A$500,"line"),"")</f>
        <v/>
      </c>
      <c r="AB419" s="2">
        <f>IF(A419&lt;&gt;"line","",IF(D419="quote",IF(Z419=0,"quote only",IF(ABS(Y419-N419)&gt;Settings!$B$2,"amount differs","match")),IF(AA419=0,"invoice only","match")))</f>
        <v/>
      </c>
      <c r="AC419" s="2">
        <f>IF(AND(A419="line",AB419&lt;&gt;"match",COUNTIFS($A$2:$A$500,"coverage",$B$2:$B$500,B419,$C$2:$C$500,C419,$D$2:$D$500,"invoice")&gt;0),MAX($AC$1:AC418)+1,"")</f>
        <v/>
      </c>
      <c r="AD419" s="2">
        <f>IF(A419&lt;&gt;"line","",IF(O419="UNMAPPED","no mapping rule",IF(P419="L","low confidence","")))</f>
        <v/>
      </c>
      <c r="AE419" s="2">
        <f>IF(AD419&lt;&gt;"",MAX($AE$1:AE418)+1,"")</f>
        <v/>
      </c>
      <c r="AF419" s="2">
        <f>IF(A419="coverage",MAX($AF$1:AF418)+1,"")</f>
        <v/>
      </c>
      <c r="AG419" s="2">
        <f>IF(A419="line",IF(COUNTIFS($B$1:B418,B419,$C$1:C418,C419,$A$1:A418,"line")=0,MAX($AG$1:AG418)+1,""),"")</f>
        <v/>
      </c>
    </row>
    <row r="420">
      <c r="W420" s="2">
        <f>IF(A420="line",IF(D420="quote",E420,G420)&amp;"|"&amp;LOWER(TRIM(K420)),"")</f>
        <v/>
      </c>
      <c r="X420" s="2">
        <f>IF(OR(O420="LABOUR",O420="INSTALL"),"LABOUR_ALL",IF(O420="","",O420))</f>
        <v/>
      </c>
      <c r="Y420" s="9">
        <f>IF(AND(A420="line",D420="quote"),SUMIFS($N$2:$N$500,$W$2:$W$500,W420,$D$2:$D$500,"invoice",$A$2:$A$500,"line"),"")</f>
        <v/>
      </c>
      <c r="Z420" s="2">
        <f>IF(AND(A420="line",D420="quote"),COUNTIFS($W$2:$W$500,W420,$D$2:$D$500,"invoice",$A$2:$A$500,"line"),"")</f>
        <v/>
      </c>
      <c r="AA420" s="2">
        <f>IF(AND(A420="line",D420="invoice"),COUNTIFS($W$2:$W$500,W420,$D$2:$D$500,"quote",$A$2:$A$500,"line"),"")</f>
        <v/>
      </c>
      <c r="AB420" s="2">
        <f>IF(A420&lt;&gt;"line","",IF(D420="quote",IF(Z420=0,"quote only",IF(ABS(Y420-N420)&gt;Settings!$B$2,"amount differs","match")),IF(AA420=0,"invoice only","match")))</f>
        <v/>
      </c>
      <c r="AC420" s="2">
        <f>IF(AND(A420="line",AB420&lt;&gt;"match",COUNTIFS($A$2:$A$500,"coverage",$B$2:$B$500,B420,$C$2:$C$500,C420,$D$2:$D$500,"invoice")&gt;0),MAX($AC$1:AC419)+1,"")</f>
        <v/>
      </c>
      <c r="AD420" s="2">
        <f>IF(A420&lt;&gt;"line","",IF(O420="UNMAPPED","no mapping rule",IF(P420="L","low confidence","")))</f>
        <v/>
      </c>
      <c r="AE420" s="2">
        <f>IF(AD420&lt;&gt;"",MAX($AE$1:AE419)+1,"")</f>
        <v/>
      </c>
      <c r="AF420" s="2">
        <f>IF(A420="coverage",MAX($AF$1:AF419)+1,"")</f>
        <v/>
      </c>
      <c r="AG420" s="2">
        <f>IF(A420="line",IF(COUNTIFS($B$1:B419,B420,$C$1:C419,C420,$A$1:A419,"line")=0,MAX($AG$1:AG419)+1,""),"")</f>
        <v/>
      </c>
    </row>
    <row r="421">
      <c r="W421" s="2">
        <f>IF(A421="line",IF(D421="quote",E421,G421)&amp;"|"&amp;LOWER(TRIM(K421)),"")</f>
        <v/>
      </c>
      <c r="X421" s="2">
        <f>IF(OR(O421="LABOUR",O421="INSTALL"),"LABOUR_ALL",IF(O421="","",O421))</f>
        <v/>
      </c>
      <c r="Y421" s="9">
        <f>IF(AND(A421="line",D421="quote"),SUMIFS($N$2:$N$500,$W$2:$W$500,W421,$D$2:$D$500,"invoice",$A$2:$A$500,"line"),"")</f>
        <v/>
      </c>
      <c r="Z421" s="2">
        <f>IF(AND(A421="line",D421="quote"),COUNTIFS($W$2:$W$500,W421,$D$2:$D$500,"invoice",$A$2:$A$500,"line"),"")</f>
        <v/>
      </c>
      <c r="AA421" s="2">
        <f>IF(AND(A421="line",D421="invoice"),COUNTIFS($W$2:$W$500,W421,$D$2:$D$500,"quote",$A$2:$A$500,"line"),"")</f>
        <v/>
      </c>
      <c r="AB421" s="2">
        <f>IF(A421&lt;&gt;"line","",IF(D421="quote",IF(Z421=0,"quote only",IF(ABS(Y421-N421)&gt;Settings!$B$2,"amount differs","match")),IF(AA421=0,"invoice only","match")))</f>
        <v/>
      </c>
      <c r="AC421" s="2">
        <f>IF(AND(A421="line",AB421&lt;&gt;"match",COUNTIFS($A$2:$A$500,"coverage",$B$2:$B$500,B421,$C$2:$C$500,C421,$D$2:$D$500,"invoice")&gt;0),MAX($AC$1:AC420)+1,"")</f>
        <v/>
      </c>
      <c r="AD421" s="2">
        <f>IF(A421&lt;&gt;"line","",IF(O421="UNMAPPED","no mapping rule",IF(P421="L","low confidence","")))</f>
        <v/>
      </c>
      <c r="AE421" s="2">
        <f>IF(AD421&lt;&gt;"",MAX($AE$1:AE420)+1,"")</f>
        <v/>
      </c>
      <c r="AF421" s="2">
        <f>IF(A421="coverage",MAX($AF$1:AF420)+1,"")</f>
        <v/>
      </c>
      <c r="AG421" s="2">
        <f>IF(A421="line",IF(COUNTIFS($B$1:B420,B421,$C$1:C420,C421,$A$1:A420,"line")=0,MAX($AG$1:AG420)+1,""),"")</f>
        <v/>
      </c>
    </row>
    <row r="422">
      <c r="W422" s="2">
        <f>IF(A422="line",IF(D422="quote",E422,G422)&amp;"|"&amp;LOWER(TRIM(K422)),"")</f>
        <v/>
      </c>
      <c r="X422" s="2">
        <f>IF(OR(O422="LABOUR",O422="INSTALL"),"LABOUR_ALL",IF(O422="","",O422))</f>
        <v/>
      </c>
      <c r="Y422" s="9">
        <f>IF(AND(A422="line",D422="quote"),SUMIFS($N$2:$N$500,$W$2:$W$500,W422,$D$2:$D$500,"invoice",$A$2:$A$500,"line"),"")</f>
        <v/>
      </c>
      <c r="Z422" s="2">
        <f>IF(AND(A422="line",D422="quote"),COUNTIFS($W$2:$W$500,W422,$D$2:$D$500,"invoice",$A$2:$A$500,"line"),"")</f>
        <v/>
      </c>
      <c r="AA422" s="2">
        <f>IF(AND(A422="line",D422="invoice"),COUNTIFS($W$2:$W$500,W422,$D$2:$D$500,"quote",$A$2:$A$500,"line"),"")</f>
        <v/>
      </c>
      <c r="AB422" s="2">
        <f>IF(A422&lt;&gt;"line","",IF(D422="quote",IF(Z422=0,"quote only",IF(ABS(Y422-N422)&gt;Settings!$B$2,"amount differs","match")),IF(AA422=0,"invoice only","match")))</f>
        <v/>
      </c>
      <c r="AC422" s="2">
        <f>IF(AND(A422="line",AB422&lt;&gt;"match",COUNTIFS($A$2:$A$500,"coverage",$B$2:$B$500,B422,$C$2:$C$500,C422,$D$2:$D$500,"invoice")&gt;0),MAX($AC$1:AC421)+1,"")</f>
        <v/>
      </c>
      <c r="AD422" s="2">
        <f>IF(A422&lt;&gt;"line","",IF(O422="UNMAPPED","no mapping rule",IF(P422="L","low confidence","")))</f>
        <v/>
      </c>
      <c r="AE422" s="2">
        <f>IF(AD422&lt;&gt;"",MAX($AE$1:AE421)+1,"")</f>
        <v/>
      </c>
      <c r="AF422" s="2">
        <f>IF(A422="coverage",MAX($AF$1:AF421)+1,"")</f>
        <v/>
      </c>
      <c r="AG422" s="2">
        <f>IF(A422="line",IF(COUNTIFS($B$1:B421,B422,$C$1:C421,C422,$A$1:A421,"line")=0,MAX($AG$1:AG421)+1,""),"")</f>
        <v/>
      </c>
    </row>
    <row r="423">
      <c r="W423" s="2">
        <f>IF(A423="line",IF(D423="quote",E423,G423)&amp;"|"&amp;LOWER(TRIM(K423)),"")</f>
        <v/>
      </c>
      <c r="X423" s="2">
        <f>IF(OR(O423="LABOUR",O423="INSTALL"),"LABOUR_ALL",IF(O423="","",O423))</f>
        <v/>
      </c>
      <c r="Y423" s="9">
        <f>IF(AND(A423="line",D423="quote"),SUMIFS($N$2:$N$500,$W$2:$W$500,W423,$D$2:$D$500,"invoice",$A$2:$A$500,"line"),"")</f>
        <v/>
      </c>
      <c r="Z423" s="2">
        <f>IF(AND(A423="line",D423="quote"),COUNTIFS($W$2:$W$500,W423,$D$2:$D$500,"invoice",$A$2:$A$500,"line"),"")</f>
        <v/>
      </c>
      <c r="AA423" s="2">
        <f>IF(AND(A423="line",D423="invoice"),COUNTIFS($W$2:$W$500,W423,$D$2:$D$500,"quote",$A$2:$A$500,"line"),"")</f>
        <v/>
      </c>
      <c r="AB423" s="2">
        <f>IF(A423&lt;&gt;"line","",IF(D423="quote",IF(Z423=0,"quote only",IF(ABS(Y423-N423)&gt;Settings!$B$2,"amount differs","match")),IF(AA423=0,"invoice only","match")))</f>
        <v/>
      </c>
      <c r="AC423" s="2">
        <f>IF(AND(A423="line",AB423&lt;&gt;"match",COUNTIFS($A$2:$A$500,"coverage",$B$2:$B$500,B423,$C$2:$C$500,C423,$D$2:$D$500,"invoice")&gt;0),MAX($AC$1:AC422)+1,"")</f>
        <v/>
      </c>
      <c r="AD423" s="2">
        <f>IF(A423&lt;&gt;"line","",IF(O423="UNMAPPED","no mapping rule",IF(P423="L","low confidence","")))</f>
        <v/>
      </c>
      <c r="AE423" s="2">
        <f>IF(AD423&lt;&gt;"",MAX($AE$1:AE422)+1,"")</f>
        <v/>
      </c>
      <c r="AF423" s="2">
        <f>IF(A423="coverage",MAX($AF$1:AF422)+1,"")</f>
        <v/>
      </c>
      <c r="AG423" s="2">
        <f>IF(A423="line",IF(COUNTIFS($B$1:B422,B423,$C$1:C422,C423,$A$1:A422,"line")=0,MAX($AG$1:AG422)+1,""),"")</f>
        <v/>
      </c>
    </row>
    <row r="424">
      <c r="W424" s="2">
        <f>IF(A424="line",IF(D424="quote",E424,G424)&amp;"|"&amp;LOWER(TRIM(K424)),"")</f>
        <v/>
      </c>
      <c r="X424" s="2">
        <f>IF(OR(O424="LABOUR",O424="INSTALL"),"LABOUR_ALL",IF(O424="","",O424))</f>
        <v/>
      </c>
      <c r="Y424" s="9">
        <f>IF(AND(A424="line",D424="quote"),SUMIFS($N$2:$N$500,$W$2:$W$500,W424,$D$2:$D$500,"invoice",$A$2:$A$500,"line"),"")</f>
        <v/>
      </c>
      <c r="Z424" s="2">
        <f>IF(AND(A424="line",D424="quote"),COUNTIFS($W$2:$W$500,W424,$D$2:$D$500,"invoice",$A$2:$A$500,"line"),"")</f>
        <v/>
      </c>
      <c r="AA424" s="2">
        <f>IF(AND(A424="line",D424="invoice"),COUNTIFS($W$2:$W$500,W424,$D$2:$D$500,"quote",$A$2:$A$500,"line"),"")</f>
        <v/>
      </c>
      <c r="AB424" s="2">
        <f>IF(A424&lt;&gt;"line","",IF(D424="quote",IF(Z424=0,"quote only",IF(ABS(Y424-N424)&gt;Settings!$B$2,"amount differs","match")),IF(AA424=0,"invoice only","match")))</f>
        <v/>
      </c>
      <c r="AC424" s="2">
        <f>IF(AND(A424="line",AB424&lt;&gt;"match",COUNTIFS($A$2:$A$500,"coverage",$B$2:$B$500,B424,$C$2:$C$500,C424,$D$2:$D$500,"invoice")&gt;0),MAX($AC$1:AC423)+1,"")</f>
        <v/>
      </c>
      <c r="AD424" s="2">
        <f>IF(A424&lt;&gt;"line","",IF(O424="UNMAPPED","no mapping rule",IF(P424="L","low confidence","")))</f>
        <v/>
      </c>
      <c r="AE424" s="2">
        <f>IF(AD424&lt;&gt;"",MAX($AE$1:AE423)+1,"")</f>
        <v/>
      </c>
      <c r="AF424" s="2">
        <f>IF(A424="coverage",MAX($AF$1:AF423)+1,"")</f>
        <v/>
      </c>
      <c r="AG424" s="2">
        <f>IF(A424="line",IF(COUNTIFS($B$1:B423,B424,$C$1:C423,C424,$A$1:A423,"line")=0,MAX($AG$1:AG423)+1,""),"")</f>
        <v/>
      </c>
    </row>
    <row r="425">
      <c r="W425" s="2">
        <f>IF(A425="line",IF(D425="quote",E425,G425)&amp;"|"&amp;LOWER(TRIM(K425)),"")</f>
        <v/>
      </c>
      <c r="X425" s="2">
        <f>IF(OR(O425="LABOUR",O425="INSTALL"),"LABOUR_ALL",IF(O425="","",O425))</f>
        <v/>
      </c>
      <c r="Y425" s="9">
        <f>IF(AND(A425="line",D425="quote"),SUMIFS($N$2:$N$500,$W$2:$W$500,W425,$D$2:$D$500,"invoice",$A$2:$A$500,"line"),"")</f>
        <v/>
      </c>
      <c r="Z425" s="2">
        <f>IF(AND(A425="line",D425="quote"),COUNTIFS($W$2:$W$500,W425,$D$2:$D$500,"invoice",$A$2:$A$500,"line"),"")</f>
        <v/>
      </c>
      <c r="AA425" s="2">
        <f>IF(AND(A425="line",D425="invoice"),COUNTIFS($W$2:$W$500,W425,$D$2:$D$500,"quote",$A$2:$A$500,"line"),"")</f>
        <v/>
      </c>
      <c r="AB425" s="2">
        <f>IF(A425&lt;&gt;"line","",IF(D425="quote",IF(Z425=0,"quote only",IF(ABS(Y425-N425)&gt;Settings!$B$2,"amount differs","match")),IF(AA425=0,"invoice only","match")))</f>
        <v/>
      </c>
      <c r="AC425" s="2">
        <f>IF(AND(A425="line",AB425&lt;&gt;"match",COUNTIFS($A$2:$A$500,"coverage",$B$2:$B$500,B425,$C$2:$C$500,C425,$D$2:$D$500,"invoice")&gt;0),MAX($AC$1:AC424)+1,"")</f>
        <v/>
      </c>
      <c r="AD425" s="2">
        <f>IF(A425&lt;&gt;"line","",IF(O425="UNMAPPED","no mapping rule",IF(P425="L","low confidence","")))</f>
        <v/>
      </c>
      <c r="AE425" s="2">
        <f>IF(AD425&lt;&gt;"",MAX($AE$1:AE424)+1,"")</f>
        <v/>
      </c>
      <c r="AF425" s="2">
        <f>IF(A425="coverage",MAX($AF$1:AF424)+1,"")</f>
        <v/>
      </c>
      <c r="AG425" s="2">
        <f>IF(A425="line",IF(COUNTIFS($B$1:B424,B425,$C$1:C424,C425,$A$1:A424,"line")=0,MAX($AG$1:AG424)+1,""),"")</f>
        <v/>
      </c>
    </row>
    <row r="426">
      <c r="W426" s="2">
        <f>IF(A426="line",IF(D426="quote",E426,G426)&amp;"|"&amp;LOWER(TRIM(K426)),"")</f>
        <v/>
      </c>
      <c r="X426" s="2">
        <f>IF(OR(O426="LABOUR",O426="INSTALL"),"LABOUR_ALL",IF(O426="","",O426))</f>
        <v/>
      </c>
      <c r="Y426" s="9">
        <f>IF(AND(A426="line",D426="quote"),SUMIFS($N$2:$N$500,$W$2:$W$500,W426,$D$2:$D$500,"invoice",$A$2:$A$500,"line"),"")</f>
        <v/>
      </c>
      <c r="Z426" s="2">
        <f>IF(AND(A426="line",D426="quote"),COUNTIFS($W$2:$W$500,W426,$D$2:$D$500,"invoice",$A$2:$A$500,"line"),"")</f>
        <v/>
      </c>
      <c r="AA426" s="2">
        <f>IF(AND(A426="line",D426="invoice"),COUNTIFS($W$2:$W$500,W426,$D$2:$D$500,"quote",$A$2:$A$500,"line"),"")</f>
        <v/>
      </c>
      <c r="AB426" s="2">
        <f>IF(A426&lt;&gt;"line","",IF(D426="quote",IF(Z426=0,"quote only",IF(ABS(Y426-N426)&gt;Settings!$B$2,"amount differs","match")),IF(AA426=0,"invoice only","match")))</f>
        <v/>
      </c>
      <c r="AC426" s="2">
        <f>IF(AND(A426="line",AB426&lt;&gt;"match",COUNTIFS($A$2:$A$500,"coverage",$B$2:$B$500,B426,$C$2:$C$500,C426,$D$2:$D$500,"invoice")&gt;0),MAX($AC$1:AC425)+1,"")</f>
        <v/>
      </c>
      <c r="AD426" s="2">
        <f>IF(A426&lt;&gt;"line","",IF(O426="UNMAPPED","no mapping rule",IF(P426="L","low confidence","")))</f>
        <v/>
      </c>
      <c r="AE426" s="2">
        <f>IF(AD426&lt;&gt;"",MAX($AE$1:AE425)+1,"")</f>
        <v/>
      </c>
      <c r="AF426" s="2">
        <f>IF(A426="coverage",MAX($AF$1:AF425)+1,"")</f>
        <v/>
      </c>
      <c r="AG426" s="2">
        <f>IF(A426="line",IF(COUNTIFS($B$1:B425,B426,$C$1:C425,C426,$A$1:A425,"line")=0,MAX($AG$1:AG425)+1,""),"")</f>
        <v/>
      </c>
    </row>
    <row r="427">
      <c r="W427" s="2">
        <f>IF(A427="line",IF(D427="quote",E427,G427)&amp;"|"&amp;LOWER(TRIM(K427)),"")</f>
        <v/>
      </c>
      <c r="X427" s="2">
        <f>IF(OR(O427="LABOUR",O427="INSTALL"),"LABOUR_ALL",IF(O427="","",O427))</f>
        <v/>
      </c>
      <c r="Y427" s="9">
        <f>IF(AND(A427="line",D427="quote"),SUMIFS($N$2:$N$500,$W$2:$W$500,W427,$D$2:$D$500,"invoice",$A$2:$A$500,"line"),"")</f>
        <v/>
      </c>
      <c r="Z427" s="2">
        <f>IF(AND(A427="line",D427="quote"),COUNTIFS($W$2:$W$500,W427,$D$2:$D$500,"invoice",$A$2:$A$500,"line"),"")</f>
        <v/>
      </c>
      <c r="AA427" s="2">
        <f>IF(AND(A427="line",D427="invoice"),COUNTIFS($W$2:$W$500,W427,$D$2:$D$500,"quote",$A$2:$A$500,"line"),"")</f>
        <v/>
      </c>
      <c r="AB427" s="2">
        <f>IF(A427&lt;&gt;"line","",IF(D427="quote",IF(Z427=0,"quote only",IF(ABS(Y427-N427)&gt;Settings!$B$2,"amount differs","match")),IF(AA427=0,"invoice only","match")))</f>
        <v/>
      </c>
      <c r="AC427" s="2">
        <f>IF(AND(A427="line",AB427&lt;&gt;"match",COUNTIFS($A$2:$A$500,"coverage",$B$2:$B$500,B427,$C$2:$C$500,C427,$D$2:$D$500,"invoice")&gt;0),MAX($AC$1:AC426)+1,"")</f>
        <v/>
      </c>
      <c r="AD427" s="2">
        <f>IF(A427&lt;&gt;"line","",IF(O427="UNMAPPED","no mapping rule",IF(P427="L","low confidence","")))</f>
        <v/>
      </c>
      <c r="AE427" s="2">
        <f>IF(AD427&lt;&gt;"",MAX($AE$1:AE426)+1,"")</f>
        <v/>
      </c>
      <c r="AF427" s="2">
        <f>IF(A427="coverage",MAX($AF$1:AF426)+1,"")</f>
        <v/>
      </c>
      <c r="AG427" s="2">
        <f>IF(A427="line",IF(COUNTIFS($B$1:B426,B427,$C$1:C426,C427,$A$1:A426,"line")=0,MAX($AG$1:AG426)+1,""),"")</f>
        <v/>
      </c>
    </row>
    <row r="428">
      <c r="W428" s="2">
        <f>IF(A428="line",IF(D428="quote",E428,G428)&amp;"|"&amp;LOWER(TRIM(K428)),"")</f>
        <v/>
      </c>
      <c r="X428" s="2">
        <f>IF(OR(O428="LABOUR",O428="INSTALL"),"LABOUR_ALL",IF(O428="","",O428))</f>
        <v/>
      </c>
      <c r="Y428" s="9">
        <f>IF(AND(A428="line",D428="quote"),SUMIFS($N$2:$N$500,$W$2:$W$500,W428,$D$2:$D$500,"invoice",$A$2:$A$500,"line"),"")</f>
        <v/>
      </c>
      <c r="Z428" s="2">
        <f>IF(AND(A428="line",D428="quote"),COUNTIFS($W$2:$W$500,W428,$D$2:$D$500,"invoice",$A$2:$A$500,"line"),"")</f>
        <v/>
      </c>
      <c r="AA428" s="2">
        <f>IF(AND(A428="line",D428="invoice"),COUNTIFS($W$2:$W$500,W428,$D$2:$D$500,"quote",$A$2:$A$500,"line"),"")</f>
        <v/>
      </c>
      <c r="AB428" s="2">
        <f>IF(A428&lt;&gt;"line","",IF(D428="quote",IF(Z428=0,"quote only",IF(ABS(Y428-N428)&gt;Settings!$B$2,"amount differs","match")),IF(AA428=0,"invoice only","match")))</f>
        <v/>
      </c>
      <c r="AC428" s="2">
        <f>IF(AND(A428="line",AB428&lt;&gt;"match",COUNTIFS($A$2:$A$500,"coverage",$B$2:$B$500,B428,$C$2:$C$500,C428,$D$2:$D$500,"invoice")&gt;0),MAX($AC$1:AC427)+1,"")</f>
        <v/>
      </c>
      <c r="AD428" s="2">
        <f>IF(A428&lt;&gt;"line","",IF(O428="UNMAPPED","no mapping rule",IF(P428="L","low confidence","")))</f>
        <v/>
      </c>
      <c r="AE428" s="2">
        <f>IF(AD428&lt;&gt;"",MAX($AE$1:AE427)+1,"")</f>
        <v/>
      </c>
      <c r="AF428" s="2">
        <f>IF(A428="coverage",MAX($AF$1:AF427)+1,"")</f>
        <v/>
      </c>
      <c r="AG428" s="2">
        <f>IF(A428="line",IF(COUNTIFS($B$1:B427,B428,$C$1:C427,C428,$A$1:A427,"line")=0,MAX($AG$1:AG427)+1,""),"")</f>
        <v/>
      </c>
    </row>
    <row r="429">
      <c r="W429" s="2">
        <f>IF(A429="line",IF(D429="quote",E429,G429)&amp;"|"&amp;LOWER(TRIM(K429)),"")</f>
        <v/>
      </c>
      <c r="X429" s="2">
        <f>IF(OR(O429="LABOUR",O429="INSTALL"),"LABOUR_ALL",IF(O429="","",O429))</f>
        <v/>
      </c>
      <c r="Y429" s="9">
        <f>IF(AND(A429="line",D429="quote"),SUMIFS($N$2:$N$500,$W$2:$W$500,W429,$D$2:$D$500,"invoice",$A$2:$A$500,"line"),"")</f>
        <v/>
      </c>
      <c r="Z429" s="2">
        <f>IF(AND(A429="line",D429="quote"),COUNTIFS($W$2:$W$500,W429,$D$2:$D$500,"invoice",$A$2:$A$500,"line"),"")</f>
        <v/>
      </c>
      <c r="AA429" s="2">
        <f>IF(AND(A429="line",D429="invoice"),COUNTIFS($W$2:$W$500,W429,$D$2:$D$500,"quote",$A$2:$A$500,"line"),"")</f>
        <v/>
      </c>
      <c r="AB429" s="2">
        <f>IF(A429&lt;&gt;"line","",IF(D429="quote",IF(Z429=0,"quote only",IF(ABS(Y429-N429)&gt;Settings!$B$2,"amount differs","match")),IF(AA429=0,"invoice only","match")))</f>
        <v/>
      </c>
      <c r="AC429" s="2">
        <f>IF(AND(A429="line",AB429&lt;&gt;"match",COUNTIFS($A$2:$A$500,"coverage",$B$2:$B$500,B429,$C$2:$C$500,C429,$D$2:$D$500,"invoice")&gt;0),MAX($AC$1:AC428)+1,"")</f>
        <v/>
      </c>
      <c r="AD429" s="2">
        <f>IF(A429&lt;&gt;"line","",IF(O429="UNMAPPED","no mapping rule",IF(P429="L","low confidence","")))</f>
        <v/>
      </c>
      <c r="AE429" s="2">
        <f>IF(AD429&lt;&gt;"",MAX($AE$1:AE428)+1,"")</f>
        <v/>
      </c>
      <c r="AF429" s="2">
        <f>IF(A429="coverage",MAX($AF$1:AF428)+1,"")</f>
        <v/>
      </c>
      <c r="AG429" s="2">
        <f>IF(A429="line",IF(COUNTIFS($B$1:B428,B429,$C$1:C428,C429,$A$1:A428,"line")=0,MAX($AG$1:AG428)+1,""),"")</f>
        <v/>
      </c>
    </row>
    <row r="430">
      <c r="W430" s="2">
        <f>IF(A430="line",IF(D430="quote",E430,G430)&amp;"|"&amp;LOWER(TRIM(K430)),"")</f>
        <v/>
      </c>
      <c r="X430" s="2">
        <f>IF(OR(O430="LABOUR",O430="INSTALL"),"LABOUR_ALL",IF(O430="","",O430))</f>
        <v/>
      </c>
      <c r="Y430" s="9">
        <f>IF(AND(A430="line",D430="quote"),SUMIFS($N$2:$N$500,$W$2:$W$500,W430,$D$2:$D$500,"invoice",$A$2:$A$500,"line"),"")</f>
        <v/>
      </c>
      <c r="Z430" s="2">
        <f>IF(AND(A430="line",D430="quote"),COUNTIFS($W$2:$W$500,W430,$D$2:$D$500,"invoice",$A$2:$A$500,"line"),"")</f>
        <v/>
      </c>
      <c r="AA430" s="2">
        <f>IF(AND(A430="line",D430="invoice"),COUNTIFS($W$2:$W$500,W430,$D$2:$D$500,"quote",$A$2:$A$500,"line"),"")</f>
        <v/>
      </c>
      <c r="AB430" s="2">
        <f>IF(A430&lt;&gt;"line","",IF(D430="quote",IF(Z430=0,"quote only",IF(ABS(Y430-N430)&gt;Settings!$B$2,"amount differs","match")),IF(AA430=0,"invoice only","match")))</f>
        <v/>
      </c>
      <c r="AC430" s="2">
        <f>IF(AND(A430="line",AB430&lt;&gt;"match",COUNTIFS($A$2:$A$500,"coverage",$B$2:$B$500,B430,$C$2:$C$500,C430,$D$2:$D$500,"invoice")&gt;0),MAX($AC$1:AC429)+1,"")</f>
        <v/>
      </c>
      <c r="AD430" s="2">
        <f>IF(A430&lt;&gt;"line","",IF(O430="UNMAPPED","no mapping rule",IF(P430="L","low confidence","")))</f>
        <v/>
      </c>
      <c r="AE430" s="2">
        <f>IF(AD430&lt;&gt;"",MAX($AE$1:AE429)+1,"")</f>
        <v/>
      </c>
      <c r="AF430" s="2">
        <f>IF(A430="coverage",MAX($AF$1:AF429)+1,"")</f>
        <v/>
      </c>
      <c r="AG430" s="2">
        <f>IF(A430="line",IF(COUNTIFS($B$1:B429,B430,$C$1:C429,C430,$A$1:A429,"line")=0,MAX($AG$1:AG429)+1,""),"")</f>
        <v/>
      </c>
    </row>
    <row r="431">
      <c r="W431" s="2">
        <f>IF(A431="line",IF(D431="quote",E431,G431)&amp;"|"&amp;LOWER(TRIM(K431)),"")</f>
        <v/>
      </c>
      <c r="X431" s="2">
        <f>IF(OR(O431="LABOUR",O431="INSTALL"),"LABOUR_ALL",IF(O431="","",O431))</f>
        <v/>
      </c>
      <c r="Y431" s="9">
        <f>IF(AND(A431="line",D431="quote"),SUMIFS($N$2:$N$500,$W$2:$W$500,W431,$D$2:$D$500,"invoice",$A$2:$A$500,"line"),"")</f>
        <v/>
      </c>
      <c r="Z431" s="2">
        <f>IF(AND(A431="line",D431="quote"),COUNTIFS($W$2:$W$500,W431,$D$2:$D$500,"invoice",$A$2:$A$500,"line"),"")</f>
        <v/>
      </c>
      <c r="AA431" s="2">
        <f>IF(AND(A431="line",D431="invoice"),COUNTIFS($W$2:$W$500,W431,$D$2:$D$500,"quote",$A$2:$A$500,"line"),"")</f>
        <v/>
      </c>
      <c r="AB431" s="2">
        <f>IF(A431&lt;&gt;"line","",IF(D431="quote",IF(Z431=0,"quote only",IF(ABS(Y431-N431)&gt;Settings!$B$2,"amount differs","match")),IF(AA431=0,"invoice only","match")))</f>
        <v/>
      </c>
      <c r="AC431" s="2">
        <f>IF(AND(A431="line",AB431&lt;&gt;"match",COUNTIFS($A$2:$A$500,"coverage",$B$2:$B$500,B431,$C$2:$C$500,C431,$D$2:$D$500,"invoice")&gt;0),MAX($AC$1:AC430)+1,"")</f>
        <v/>
      </c>
      <c r="AD431" s="2">
        <f>IF(A431&lt;&gt;"line","",IF(O431="UNMAPPED","no mapping rule",IF(P431="L","low confidence","")))</f>
        <v/>
      </c>
      <c r="AE431" s="2">
        <f>IF(AD431&lt;&gt;"",MAX($AE$1:AE430)+1,"")</f>
        <v/>
      </c>
      <c r="AF431" s="2">
        <f>IF(A431="coverage",MAX($AF$1:AF430)+1,"")</f>
        <v/>
      </c>
      <c r="AG431" s="2">
        <f>IF(A431="line",IF(COUNTIFS($B$1:B430,B431,$C$1:C430,C431,$A$1:A430,"line")=0,MAX($AG$1:AG430)+1,""),"")</f>
        <v/>
      </c>
    </row>
    <row r="432">
      <c r="W432" s="2">
        <f>IF(A432="line",IF(D432="quote",E432,G432)&amp;"|"&amp;LOWER(TRIM(K432)),"")</f>
        <v/>
      </c>
      <c r="X432" s="2">
        <f>IF(OR(O432="LABOUR",O432="INSTALL"),"LABOUR_ALL",IF(O432="","",O432))</f>
        <v/>
      </c>
      <c r="Y432" s="9">
        <f>IF(AND(A432="line",D432="quote"),SUMIFS($N$2:$N$500,$W$2:$W$500,W432,$D$2:$D$500,"invoice",$A$2:$A$500,"line"),"")</f>
        <v/>
      </c>
      <c r="Z432" s="2">
        <f>IF(AND(A432="line",D432="quote"),COUNTIFS($W$2:$W$500,W432,$D$2:$D$500,"invoice",$A$2:$A$500,"line"),"")</f>
        <v/>
      </c>
      <c r="AA432" s="2">
        <f>IF(AND(A432="line",D432="invoice"),COUNTIFS($W$2:$W$500,W432,$D$2:$D$500,"quote",$A$2:$A$500,"line"),"")</f>
        <v/>
      </c>
      <c r="AB432" s="2">
        <f>IF(A432&lt;&gt;"line","",IF(D432="quote",IF(Z432=0,"quote only",IF(ABS(Y432-N432)&gt;Settings!$B$2,"amount differs","match")),IF(AA432=0,"invoice only","match")))</f>
        <v/>
      </c>
      <c r="AC432" s="2">
        <f>IF(AND(A432="line",AB432&lt;&gt;"match",COUNTIFS($A$2:$A$500,"coverage",$B$2:$B$500,B432,$C$2:$C$500,C432,$D$2:$D$500,"invoice")&gt;0),MAX($AC$1:AC431)+1,"")</f>
        <v/>
      </c>
      <c r="AD432" s="2">
        <f>IF(A432&lt;&gt;"line","",IF(O432="UNMAPPED","no mapping rule",IF(P432="L","low confidence","")))</f>
        <v/>
      </c>
      <c r="AE432" s="2">
        <f>IF(AD432&lt;&gt;"",MAX($AE$1:AE431)+1,"")</f>
        <v/>
      </c>
      <c r="AF432" s="2">
        <f>IF(A432="coverage",MAX($AF$1:AF431)+1,"")</f>
        <v/>
      </c>
      <c r="AG432" s="2">
        <f>IF(A432="line",IF(COUNTIFS($B$1:B431,B432,$C$1:C431,C432,$A$1:A431,"line")=0,MAX($AG$1:AG431)+1,""),"")</f>
        <v/>
      </c>
    </row>
    <row r="433">
      <c r="W433" s="2">
        <f>IF(A433="line",IF(D433="quote",E433,G433)&amp;"|"&amp;LOWER(TRIM(K433)),"")</f>
        <v/>
      </c>
      <c r="X433" s="2">
        <f>IF(OR(O433="LABOUR",O433="INSTALL"),"LABOUR_ALL",IF(O433="","",O433))</f>
        <v/>
      </c>
      <c r="Y433" s="9">
        <f>IF(AND(A433="line",D433="quote"),SUMIFS($N$2:$N$500,$W$2:$W$500,W433,$D$2:$D$500,"invoice",$A$2:$A$500,"line"),"")</f>
        <v/>
      </c>
      <c r="Z433" s="2">
        <f>IF(AND(A433="line",D433="quote"),COUNTIFS($W$2:$W$500,W433,$D$2:$D$500,"invoice",$A$2:$A$500,"line"),"")</f>
        <v/>
      </c>
      <c r="AA433" s="2">
        <f>IF(AND(A433="line",D433="invoice"),COUNTIFS($W$2:$W$500,W433,$D$2:$D$500,"quote",$A$2:$A$500,"line"),"")</f>
        <v/>
      </c>
      <c r="AB433" s="2">
        <f>IF(A433&lt;&gt;"line","",IF(D433="quote",IF(Z433=0,"quote only",IF(ABS(Y433-N433)&gt;Settings!$B$2,"amount differs","match")),IF(AA433=0,"invoice only","match")))</f>
        <v/>
      </c>
      <c r="AC433" s="2">
        <f>IF(AND(A433="line",AB433&lt;&gt;"match",COUNTIFS($A$2:$A$500,"coverage",$B$2:$B$500,B433,$C$2:$C$500,C433,$D$2:$D$500,"invoice")&gt;0),MAX($AC$1:AC432)+1,"")</f>
        <v/>
      </c>
      <c r="AD433" s="2">
        <f>IF(A433&lt;&gt;"line","",IF(O433="UNMAPPED","no mapping rule",IF(P433="L","low confidence","")))</f>
        <v/>
      </c>
      <c r="AE433" s="2">
        <f>IF(AD433&lt;&gt;"",MAX($AE$1:AE432)+1,"")</f>
        <v/>
      </c>
      <c r="AF433" s="2">
        <f>IF(A433="coverage",MAX($AF$1:AF432)+1,"")</f>
        <v/>
      </c>
      <c r="AG433" s="2">
        <f>IF(A433="line",IF(COUNTIFS($B$1:B432,B433,$C$1:C432,C433,$A$1:A432,"line")=0,MAX($AG$1:AG432)+1,""),"")</f>
        <v/>
      </c>
    </row>
    <row r="434">
      <c r="W434" s="2">
        <f>IF(A434="line",IF(D434="quote",E434,G434)&amp;"|"&amp;LOWER(TRIM(K434)),"")</f>
        <v/>
      </c>
      <c r="X434" s="2">
        <f>IF(OR(O434="LABOUR",O434="INSTALL"),"LABOUR_ALL",IF(O434="","",O434))</f>
        <v/>
      </c>
      <c r="Y434" s="9">
        <f>IF(AND(A434="line",D434="quote"),SUMIFS($N$2:$N$500,$W$2:$W$500,W434,$D$2:$D$500,"invoice",$A$2:$A$500,"line"),"")</f>
        <v/>
      </c>
      <c r="Z434" s="2">
        <f>IF(AND(A434="line",D434="quote"),COUNTIFS($W$2:$W$500,W434,$D$2:$D$500,"invoice",$A$2:$A$500,"line"),"")</f>
        <v/>
      </c>
      <c r="AA434" s="2">
        <f>IF(AND(A434="line",D434="invoice"),COUNTIFS($W$2:$W$500,W434,$D$2:$D$500,"quote",$A$2:$A$500,"line"),"")</f>
        <v/>
      </c>
      <c r="AB434" s="2">
        <f>IF(A434&lt;&gt;"line","",IF(D434="quote",IF(Z434=0,"quote only",IF(ABS(Y434-N434)&gt;Settings!$B$2,"amount differs","match")),IF(AA434=0,"invoice only","match")))</f>
        <v/>
      </c>
      <c r="AC434" s="2">
        <f>IF(AND(A434="line",AB434&lt;&gt;"match",COUNTIFS($A$2:$A$500,"coverage",$B$2:$B$500,B434,$C$2:$C$500,C434,$D$2:$D$500,"invoice")&gt;0),MAX($AC$1:AC433)+1,"")</f>
        <v/>
      </c>
      <c r="AD434" s="2">
        <f>IF(A434&lt;&gt;"line","",IF(O434="UNMAPPED","no mapping rule",IF(P434="L","low confidence","")))</f>
        <v/>
      </c>
      <c r="AE434" s="2">
        <f>IF(AD434&lt;&gt;"",MAX($AE$1:AE433)+1,"")</f>
        <v/>
      </c>
      <c r="AF434" s="2">
        <f>IF(A434="coverage",MAX($AF$1:AF433)+1,"")</f>
        <v/>
      </c>
      <c r="AG434" s="2">
        <f>IF(A434="line",IF(COUNTIFS($B$1:B433,B434,$C$1:C433,C434,$A$1:A433,"line")=0,MAX($AG$1:AG433)+1,""),"")</f>
        <v/>
      </c>
    </row>
    <row r="435">
      <c r="W435" s="2">
        <f>IF(A435="line",IF(D435="quote",E435,G435)&amp;"|"&amp;LOWER(TRIM(K435)),"")</f>
        <v/>
      </c>
      <c r="X435" s="2">
        <f>IF(OR(O435="LABOUR",O435="INSTALL"),"LABOUR_ALL",IF(O435="","",O435))</f>
        <v/>
      </c>
      <c r="Y435" s="9">
        <f>IF(AND(A435="line",D435="quote"),SUMIFS($N$2:$N$500,$W$2:$W$500,W435,$D$2:$D$500,"invoice",$A$2:$A$500,"line"),"")</f>
        <v/>
      </c>
      <c r="Z435" s="2">
        <f>IF(AND(A435="line",D435="quote"),COUNTIFS($W$2:$W$500,W435,$D$2:$D$500,"invoice",$A$2:$A$500,"line"),"")</f>
        <v/>
      </c>
      <c r="AA435" s="2">
        <f>IF(AND(A435="line",D435="invoice"),COUNTIFS($W$2:$W$500,W435,$D$2:$D$500,"quote",$A$2:$A$500,"line"),"")</f>
        <v/>
      </c>
      <c r="AB435" s="2">
        <f>IF(A435&lt;&gt;"line","",IF(D435="quote",IF(Z435=0,"quote only",IF(ABS(Y435-N435)&gt;Settings!$B$2,"amount differs","match")),IF(AA435=0,"invoice only","match")))</f>
        <v/>
      </c>
      <c r="AC435" s="2">
        <f>IF(AND(A435="line",AB435&lt;&gt;"match",COUNTIFS($A$2:$A$500,"coverage",$B$2:$B$500,B435,$C$2:$C$500,C435,$D$2:$D$500,"invoice")&gt;0),MAX($AC$1:AC434)+1,"")</f>
        <v/>
      </c>
      <c r="AD435" s="2">
        <f>IF(A435&lt;&gt;"line","",IF(O435="UNMAPPED","no mapping rule",IF(P435="L","low confidence","")))</f>
        <v/>
      </c>
      <c r="AE435" s="2">
        <f>IF(AD435&lt;&gt;"",MAX($AE$1:AE434)+1,"")</f>
        <v/>
      </c>
      <c r="AF435" s="2">
        <f>IF(A435="coverage",MAX($AF$1:AF434)+1,"")</f>
        <v/>
      </c>
      <c r="AG435" s="2">
        <f>IF(A435="line",IF(COUNTIFS($B$1:B434,B435,$C$1:C434,C435,$A$1:A434,"line")=0,MAX($AG$1:AG434)+1,""),"")</f>
        <v/>
      </c>
    </row>
    <row r="436">
      <c r="W436" s="2">
        <f>IF(A436="line",IF(D436="quote",E436,G436)&amp;"|"&amp;LOWER(TRIM(K436)),"")</f>
        <v/>
      </c>
      <c r="X436" s="2">
        <f>IF(OR(O436="LABOUR",O436="INSTALL"),"LABOUR_ALL",IF(O436="","",O436))</f>
        <v/>
      </c>
      <c r="Y436" s="9">
        <f>IF(AND(A436="line",D436="quote"),SUMIFS($N$2:$N$500,$W$2:$W$500,W436,$D$2:$D$500,"invoice",$A$2:$A$500,"line"),"")</f>
        <v/>
      </c>
      <c r="Z436" s="2">
        <f>IF(AND(A436="line",D436="quote"),COUNTIFS($W$2:$W$500,W436,$D$2:$D$500,"invoice",$A$2:$A$500,"line"),"")</f>
        <v/>
      </c>
      <c r="AA436" s="2">
        <f>IF(AND(A436="line",D436="invoice"),COUNTIFS($W$2:$W$500,W436,$D$2:$D$500,"quote",$A$2:$A$500,"line"),"")</f>
        <v/>
      </c>
      <c r="AB436" s="2">
        <f>IF(A436&lt;&gt;"line","",IF(D436="quote",IF(Z436=0,"quote only",IF(ABS(Y436-N436)&gt;Settings!$B$2,"amount differs","match")),IF(AA436=0,"invoice only","match")))</f>
        <v/>
      </c>
      <c r="AC436" s="2">
        <f>IF(AND(A436="line",AB436&lt;&gt;"match",COUNTIFS($A$2:$A$500,"coverage",$B$2:$B$500,B436,$C$2:$C$500,C436,$D$2:$D$500,"invoice")&gt;0),MAX($AC$1:AC435)+1,"")</f>
        <v/>
      </c>
      <c r="AD436" s="2">
        <f>IF(A436&lt;&gt;"line","",IF(O436="UNMAPPED","no mapping rule",IF(P436="L","low confidence","")))</f>
        <v/>
      </c>
      <c r="AE436" s="2">
        <f>IF(AD436&lt;&gt;"",MAX($AE$1:AE435)+1,"")</f>
        <v/>
      </c>
      <c r="AF436" s="2">
        <f>IF(A436="coverage",MAX($AF$1:AF435)+1,"")</f>
        <v/>
      </c>
      <c r="AG436" s="2">
        <f>IF(A436="line",IF(COUNTIFS($B$1:B435,B436,$C$1:C435,C436,$A$1:A435,"line")=0,MAX($AG$1:AG435)+1,""),"")</f>
        <v/>
      </c>
    </row>
    <row r="437">
      <c r="W437" s="2">
        <f>IF(A437="line",IF(D437="quote",E437,G437)&amp;"|"&amp;LOWER(TRIM(K437)),"")</f>
        <v/>
      </c>
      <c r="X437" s="2">
        <f>IF(OR(O437="LABOUR",O437="INSTALL"),"LABOUR_ALL",IF(O437="","",O437))</f>
        <v/>
      </c>
      <c r="Y437" s="9">
        <f>IF(AND(A437="line",D437="quote"),SUMIFS($N$2:$N$500,$W$2:$W$500,W437,$D$2:$D$500,"invoice",$A$2:$A$500,"line"),"")</f>
        <v/>
      </c>
      <c r="Z437" s="2">
        <f>IF(AND(A437="line",D437="quote"),COUNTIFS($W$2:$W$500,W437,$D$2:$D$500,"invoice",$A$2:$A$500,"line"),"")</f>
        <v/>
      </c>
      <c r="AA437" s="2">
        <f>IF(AND(A437="line",D437="invoice"),COUNTIFS($W$2:$W$500,W437,$D$2:$D$500,"quote",$A$2:$A$500,"line"),"")</f>
        <v/>
      </c>
      <c r="AB437" s="2">
        <f>IF(A437&lt;&gt;"line","",IF(D437="quote",IF(Z437=0,"quote only",IF(ABS(Y437-N437)&gt;Settings!$B$2,"amount differs","match")),IF(AA437=0,"invoice only","match")))</f>
        <v/>
      </c>
      <c r="AC437" s="2">
        <f>IF(AND(A437="line",AB437&lt;&gt;"match",COUNTIFS($A$2:$A$500,"coverage",$B$2:$B$500,B437,$C$2:$C$500,C437,$D$2:$D$500,"invoice")&gt;0),MAX($AC$1:AC436)+1,"")</f>
        <v/>
      </c>
      <c r="AD437" s="2">
        <f>IF(A437&lt;&gt;"line","",IF(O437="UNMAPPED","no mapping rule",IF(P437="L","low confidence","")))</f>
        <v/>
      </c>
      <c r="AE437" s="2">
        <f>IF(AD437&lt;&gt;"",MAX($AE$1:AE436)+1,"")</f>
        <v/>
      </c>
      <c r="AF437" s="2">
        <f>IF(A437="coverage",MAX($AF$1:AF436)+1,"")</f>
        <v/>
      </c>
      <c r="AG437" s="2">
        <f>IF(A437="line",IF(COUNTIFS($B$1:B436,B437,$C$1:C436,C437,$A$1:A436,"line")=0,MAX($AG$1:AG436)+1,""),"")</f>
        <v/>
      </c>
    </row>
    <row r="438">
      <c r="W438" s="2">
        <f>IF(A438="line",IF(D438="quote",E438,G438)&amp;"|"&amp;LOWER(TRIM(K438)),"")</f>
        <v/>
      </c>
      <c r="X438" s="2">
        <f>IF(OR(O438="LABOUR",O438="INSTALL"),"LABOUR_ALL",IF(O438="","",O438))</f>
        <v/>
      </c>
      <c r="Y438" s="9">
        <f>IF(AND(A438="line",D438="quote"),SUMIFS($N$2:$N$500,$W$2:$W$500,W438,$D$2:$D$500,"invoice",$A$2:$A$500,"line"),"")</f>
        <v/>
      </c>
      <c r="Z438" s="2">
        <f>IF(AND(A438="line",D438="quote"),COUNTIFS($W$2:$W$500,W438,$D$2:$D$500,"invoice",$A$2:$A$500,"line"),"")</f>
        <v/>
      </c>
      <c r="AA438" s="2">
        <f>IF(AND(A438="line",D438="invoice"),COUNTIFS($W$2:$W$500,W438,$D$2:$D$500,"quote",$A$2:$A$500,"line"),"")</f>
        <v/>
      </c>
      <c r="AB438" s="2">
        <f>IF(A438&lt;&gt;"line","",IF(D438="quote",IF(Z438=0,"quote only",IF(ABS(Y438-N438)&gt;Settings!$B$2,"amount differs","match")),IF(AA438=0,"invoice only","match")))</f>
        <v/>
      </c>
      <c r="AC438" s="2">
        <f>IF(AND(A438="line",AB438&lt;&gt;"match",COUNTIFS($A$2:$A$500,"coverage",$B$2:$B$500,B438,$C$2:$C$500,C438,$D$2:$D$500,"invoice")&gt;0),MAX($AC$1:AC437)+1,"")</f>
        <v/>
      </c>
      <c r="AD438" s="2">
        <f>IF(A438&lt;&gt;"line","",IF(O438="UNMAPPED","no mapping rule",IF(P438="L","low confidence","")))</f>
        <v/>
      </c>
      <c r="AE438" s="2">
        <f>IF(AD438&lt;&gt;"",MAX($AE$1:AE437)+1,"")</f>
        <v/>
      </c>
      <c r="AF438" s="2">
        <f>IF(A438="coverage",MAX($AF$1:AF437)+1,"")</f>
        <v/>
      </c>
      <c r="AG438" s="2">
        <f>IF(A438="line",IF(COUNTIFS($B$1:B437,B438,$C$1:C437,C438,$A$1:A437,"line")=0,MAX($AG$1:AG437)+1,""),"")</f>
        <v/>
      </c>
    </row>
    <row r="439">
      <c r="W439" s="2">
        <f>IF(A439="line",IF(D439="quote",E439,G439)&amp;"|"&amp;LOWER(TRIM(K439)),"")</f>
        <v/>
      </c>
      <c r="X439" s="2">
        <f>IF(OR(O439="LABOUR",O439="INSTALL"),"LABOUR_ALL",IF(O439="","",O439))</f>
        <v/>
      </c>
      <c r="Y439" s="9">
        <f>IF(AND(A439="line",D439="quote"),SUMIFS($N$2:$N$500,$W$2:$W$500,W439,$D$2:$D$500,"invoice",$A$2:$A$500,"line"),"")</f>
        <v/>
      </c>
      <c r="Z439" s="2">
        <f>IF(AND(A439="line",D439="quote"),COUNTIFS($W$2:$W$500,W439,$D$2:$D$500,"invoice",$A$2:$A$500,"line"),"")</f>
        <v/>
      </c>
      <c r="AA439" s="2">
        <f>IF(AND(A439="line",D439="invoice"),COUNTIFS($W$2:$W$500,W439,$D$2:$D$500,"quote",$A$2:$A$500,"line"),"")</f>
        <v/>
      </c>
      <c r="AB439" s="2">
        <f>IF(A439&lt;&gt;"line","",IF(D439="quote",IF(Z439=0,"quote only",IF(ABS(Y439-N439)&gt;Settings!$B$2,"amount differs","match")),IF(AA439=0,"invoice only","match")))</f>
        <v/>
      </c>
      <c r="AC439" s="2">
        <f>IF(AND(A439="line",AB439&lt;&gt;"match",COUNTIFS($A$2:$A$500,"coverage",$B$2:$B$500,B439,$C$2:$C$500,C439,$D$2:$D$500,"invoice")&gt;0),MAX($AC$1:AC438)+1,"")</f>
        <v/>
      </c>
      <c r="AD439" s="2">
        <f>IF(A439&lt;&gt;"line","",IF(O439="UNMAPPED","no mapping rule",IF(P439="L","low confidence","")))</f>
        <v/>
      </c>
      <c r="AE439" s="2">
        <f>IF(AD439&lt;&gt;"",MAX($AE$1:AE438)+1,"")</f>
        <v/>
      </c>
      <c r="AF439" s="2">
        <f>IF(A439="coverage",MAX($AF$1:AF438)+1,"")</f>
        <v/>
      </c>
      <c r="AG439" s="2">
        <f>IF(A439="line",IF(COUNTIFS($B$1:B438,B439,$C$1:C438,C439,$A$1:A438,"line")=0,MAX($AG$1:AG438)+1,""),"")</f>
        <v/>
      </c>
    </row>
    <row r="440">
      <c r="W440" s="2">
        <f>IF(A440="line",IF(D440="quote",E440,G440)&amp;"|"&amp;LOWER(TRIM(K440)),"")</f>
        <v/>
      </c>
      <c r="X440" s="2">
        <f>IF(OR(O440="LABOUR",O440="INSTALL"),"LABOUR_ALL",IF(O440="","",O440))</f>
        <v/>
      </c>
      <c r="Y440" s="9">
        <f>IF(AND(A440="line",D440="quote"),SUMIFS($N$2:$N$500,$W$2:$W$500,W440,$D$2:$D$500,"invoice",$A$2:$A$500,"line"),"")</f>
        <v/>
      </c>
      <c r="Z440" s="2">
        <f>IF(AND(A440="line",D440="quote"),COUNTIFS($W$2:$W$500,W440,$D$2:$D$500,"invoice",$A$2:$A$500,"line"),"")</f>
        <v/>
      </c>
      <c r="AA440" s="2">
        <f>IF(AND(A440="line",D440="invoice"),COUNTIFS($W$2:$W$500,W440,$D$2:$D$500,"quote",$A$2:$A$500,"line"),"")</f>
        <v/>
      </c>
      <c r="AB440" s="2">
        <f>IF(A440&lt;&gt;"line","",IF(D440="quote",IF(Z440=0,"quote only",IF(ABS(Y440-N440)&gt;Settings!$B$2,"amount differs","match")),IF(AA440=0,"invoice only","match")))</f>
        <v/>
      </c>
      <c r="AC440" s="2">
        <f>IF(AND(A440="line",AB440&lt;&gt;"match",COUNTIFS($A$2:$A$500,"coverage",$B$2:$B$500,B440,$C$2:$C$500,C440,$D$2:$D$500,"invoice")&gt;0),MAX($AC$1:AC439)+1,"")</f>
        <v/>
      </c>
      <c r="AD440" s="2">
        <f>IF(A440&lt;&gt;"line","",IF(O440="UNMAPPED","no mapping rule",IF(P440="L","low confidence","")))</f>
        <v/>
      </c>
      <c r="AE440" s="2">
        <f>IF(AD440&lt;&gt;"",MAX($AE$1:AE439)+1,"")</f>
        <v/>
      </c>
      <c r="AF440" s="2">
        <f>IF(A440="coverage",MAX($AF$1:AF439)+1,"")</f>
        <v/>
      </c>
      <c r="AG440" s="2">
        <f>IF(A440="line",IF(COUNTIFS($B$1:B439,B440,$C$1:C439,C440,$A$1:A439,"line")=0,MAX($AG$1:AG439)+1,""),"")</f>
        <v/>
      </c>
    </row>
    <row r="441">
      <c r="W441" s="2">
        <f>IF(A441="line",IF(D441="quote",E441,G441)&amp;"|"&amp;LOWER(TRIM(K441)),"")</f>
        <v/>
      </c>
      <c r="X441" s="2">
        <f>IF(OR(O441="LABOUR",O441="INSTALL"),"LABOUR_ALL",IF(O441="","",O441))</f>
        <v/>
      </c>
      <c r="Y441" s="9">
        <f>IF(AND(A441="line",D441="quote"),SUMIFS($N$2:$N$500,$W$2:$W$500,W441,$D$2:$D$500,"invoice",$A$2:$A$500,"line"),"")</f>
        <v/>
      </c>
      <c r="Z441" s="2">
        <f>IF(AND(A441="line",D441="quote"),COUNTIFS($W$2:$W$500,W441,$D$2:$D$500,"invoice",$A$2:$A$500,"line"),"")</f>
        <v/>
      </c>
      <c r="AA441" s="2">
        <f>IF(AND(A441="line",D441="invoice"),COUNTIFS($W$2:$W$500,W441,$D$2:$D$500,"quote",$A$2:$A$500,"line"),"")</f>
        <v/>
      </c>
      <c r="AB441" s="2">
        <f>IF(A441&lt;&gt;"line","",IF(D441="quote",IF(Z441=0,"quote only",IF(ABS(Y441-N441)&gt;Settings!$B$2,"amount differs","match")),IF(AA441=0,"invoice only","match")))</f>
        <v/>
      </c>
      <c r="AC441" s="2">
        <f>IF(AND(A441="line",AB441&lt;&gt;"match",COUNTIFS($A$2:$A$500,"coverage",$B$2:$B$500,B441,$C$2:$C$500,C441,$D$2:$D$500,"invoice")&gt;0),MAX($AC$1:AC440)+1,"")</f>
        <v/>
      </c>
      <c r="AD441" s="2">
        <f>IF(A441&lt;&gt;"line","",IF(O441="UNMAPPED","no mapping rule",IF(P441="L","low confidence","")))</f>
        <v/>
      </c>
      <c r="AE441" s="2">
        <f>IF(AD441&lt;&gt;"",MAX($AE$1:AE440)+1,"")</f>
        <v/>
      </c>
      <c r="AF441" s="2">
        <f>IF(A441="coverage",MAX($AF$1:AF440)+1,"")</f>
        <v/>
      </c>
      <c r="AG441" s="2">
        <f>IF(A441="line",IF(COUNTIFS($B$1:B440,B441,$C$1:C440,C441,$A$1:A440,"line")=0,MAX($AG$1:AG440)+1,""),"")</f>
        <v/>
      </c>
    </row>
    <row r="442">
      <c r="W442" s="2">
        <f>IF(A442="line",IF(D442="quote",E442,G442)&amp;"|"&amp;LOWER(TRIM(K442)),"")</f>
        <v/>
      </c>
      <c r="X442" s="2">
        <f>IF(OR(O442="LABOUR",O442="INSTALL"),"LABOUR_ALL",IF(O442="","",O442))</f>
        <v/>
      </c>
      <c r="Y442" s="9">
        <f>IF(AND(A442="line",D442="quote"),SUMIFS($N$2:$N$500,$W$2:$W$500,W442,$D$2:$D$500,"invoice",$A$2:$A$500,"line"),"")</f>
        <v/>
      </c>
      <c r="Z442" s="2">
        <f>IF(AND(A442="line",D442="quote"),COUNTIFS($W$2:$W$500,W442,$D$2:$D$500,"invoice",$A$2:$A$500,"line"),"")</f>
        <v/>
      </c>
      <c r="AA442" s="2">
        <f>IF(AND(A442="line",D442="invoice"),COUNTIFS($W$2:$W$500,W442,$D$2:$D$500,"quote",$A$2:$A$500,"line"),"")</f>
        <v/>
      </c>
      <c r="AB442" s="2">
        <f>IF(A442&lt;&gt;"line","",IF(D442="quote",IF(Z442=0,"quote only",IF(ABS(Y442-N442)&gt;Settings!$B$2,"amount differs","match")),IF(AA442=0,"invoice only","match")))</f>
        <v/>
      </c>
      <c r="AC442" s="2">
        <f>IF(AND(A442="line",AB442&lt;&gt;"match",COUNTIFS($A$2:$A$500,"coverage",$B$2:$B$500,B442,$C$2:$C$500,C442,$D$2:$D$500,"invoice")&gt;0),MAX($AC$1:AC441)+1,"")</f>
        <v/>
      </c>
      <c r="AD442" s="2">
        <f>IF(A442&lt;&gt;"line","",IF(O442="UNMAPPED","no mapping rule",IF(P442="L","low confidence","")))</f>
        <v/>
      </c>
      <c r="AE442" s="2">
        <f>IF(AD442&lt;&gt;"",MAX($AE$1:AE441)+1,"")</f>
        <v/>
      </c>
      <c r="AF442" s="2">
        <f>IF(A442="coverage",MAX($AF$1:AF441)+1,"")</f>
        <v/>
      </c>
      <c r="AG442" s="2">
        <f>IF(A442="line",IF(COUNTIFS($B$1:B441,B442,$C$1:C441,C442,$A$1:A441,"line")=0,MAX($AG$1:AG441)+1,""),"")</f>
        <v/>
      </c>
    </row>
    <row r="443">
      <c r="W443" s="2">
        <f>IF(A443="line",IF(D443="quote",E443,G443)&amp;"|"&amp;LOWER(TRIM(K443)),"")</f>
        <v/>
      </c>
      <c r="X443" s="2">
        <f>IF(OR(O443="LABOUR",O443="INSTALL"),"LABOUR_ALL",IF(O443="","",O443))</f>
        <v/>
      </c>
      <c r="Y443" s="9">
        <f>IF(AND(A443="line",D443="quote"),SUMIFS($N$2:$N$500,$W$2:$W$500,W443,$D$2:$D$500,"invoice",$A$2:$A$500,"line"),"")</f>
        <v/>
      </c>
      <c r="Z443" s="2">
        <f>IF(AND(A443="line",D443="quote"),COUNTIFS($W$2:$W$500,W443,$D$2:$D$500,"invoice",$A$2:$A$500,"line"),"")</f>
        <v/>
      </c>
      <c r="AA443" s="2">
        <f>IF(AND(A443="line",D443="invoice"),COUNTIFS($W$2:$W$500,W443,$D$2:$D$500,"quote",$A$2:$A$500,"line"),"")</f>
        <v/>
      </c>
      <c r="AB443" s="2">
        <f>IF(A443&lt;&gt;"line","",IF(D443="quote",IF(Z443=0,"quote only",IF(ABS(Y443-N443)&gt;Settings!$B$2,"amount differs","match")),IF(AA443=0,"invoice only","match")))</f>
        <v/>
      </c>
      <c r="AC443" s="2">
        <f>IF(AND(A443="line",AB443&lt;&gt;"match",COUNTIFS($A$2:$A$500,"coverage",$B$2:$B$500,B443,$C$2:$C$500,C443,$D$2:$D$500,"invoice")&gt;0),MAX($AC$1:AC442)+1,"")</f>
        <v/>
      </c>
      <c r="AD443" s="2">
        <f>IF(A443&lt;&gt;"line","",IF(O443="UNMAPPED","no mapping rule",IF(P443="L","low confidence","")))</f>
        <v/>
      </c>
      <c r="AE443" s="2">
        <f>IF(AD443&lt;&gt;"",MAX($AE$1:AE442)+1,"")</f>
        <v/>
      </c>
      <c r="AF443" s="2">
        <f>IF(A443="coverage",MAX($AF$1:AF442)+1,"")</f>
        <v/>
      </c>
      <c r="AG443" s="2">
        <f>IF(A443="line",IF(COUNTIFS($B$1:B442,B443,$C$1:C442,C443,$A$1:A442,"line")=0,MAX($AG$1:AG442)+1,""),"")</f>
        <v/>
      </c>
    </row>
    <row r="444">
      <c r="W444" s="2">
        <f>IF(A444="line",IF(D444="quote",E444,G444)&amp;"|"&amp;LOWER(TRIM(K444)),"")</f>
        <v/>
      </c>
      <c r="X444" s="2">
        <f>IF(OR(O444="LABOUR",O444="INSTALL"),"LABOUR_ALL",IF(O444="","",O444))</f>
        <v/>
      </c>
      <c r="Y444" s="9">
        <f>IF(AND(A444="line",D444="quote"),SUMIFS($N$2:$N$500,$W$2:$W$500,W444,$D$2:$D$500,"invoice",$A$2:$A$500,"line"),"")</f>
        <v/>
      </c>
      <c r="Z444" s="2">
        <f>IF(AND(A444="line",D444="quote"),COUNTIFS($W$2:$W$500,W444,$D$2:$D$500,"invoice",$A$2:$A$500,"line"),"")</f>
        <v/>
      </c>
      <c r="AA444" s="2">
        <f>IF(AND(A444="line",D444="invoice"),COUNTIFS($W$2:$W$500,W444,$D$2:$D$500,"quote",$A$2:$A$500,"line"),"")</f>
        <v/>
      </c>
      <c r="AB444" s="2">
        <f>IF(A444&lt;&gt;"line","",IF(D444="quote",IF(Z444=0,"quote only",IF(ABS(Y444-N444)&gt;Settings!$B$2,"amount differs","match")),IF(AA444=0,"invoice only","match")))</f>
        <v/>
      </c>
      <c r="AC444" s="2">
        <f>IF(AND(A444="line",AB444&lt;&gt;"match",COUNTIFS($A$2:$A$500,"coverage",$B$2:$B$500,B444,$C$2:$C$500,C444,$D$2:$D$500,"invoice")&gt;0),MAX($AC$1:AC443)+1,"")</f>
        <v/>
      </c>
      <c r="AD444" s="2">
        <f>IF(A444&lt;&gt;"line","",IF(O444="UNMAPPED","no mapping rule",IF(P444="L","low confidence","")))</f>
        <v/>
      </c>
      <c r="AE444" s="2">
        <f>IF(AD444&lt;&gt;"",MAX($AE$1:AE443)+1,"")</f>
        <v/>
      </c>
      <c r="AF444" s="2">
        <f>IF(A444="coverage",MAX($AF$1:AF443)+1,"")</f>
        <v/>
      </c>
      <c r="AG444" s="2">
        <f>IF(A444="line",IF(COUNTIFS($B$1:B443,B444,$C$1:C443,C444,$A$1:A443,"line")=0,MAX($AG$1:AG443)+1,""),"")</f>
        <v/>
      </c>
    </row>
    <row r="445">
      <c r="W445" s="2">
        <f>IF(A445="line",IF(D445="quote",E445,G445)&amp;"|"&amp;LOWER(TRIM(K445)),"")</f>
        <v/>
      </c>
      <c r="X445" s="2">
        <f>IF(OR(O445="LABOUR",O445="INSTALL"),"LABOUR_ALL",IF(O445="","",O445))</f>
        <v/>
      </c>
      <c r="Y445" s="9">
        <f>IF(AND(A445="line",D445="quote"),SUMIFS($N$2:$N$500,$W$2:$W$500,W445,$D$2:$D$500,"invoice",$A$2:$A$500,"line"),"")</f>
        <v/>
      </c>
      <c r="Z445" s="2">
        <f>IF(AND(A445="line",D445="quote"),COUNTIFS($W$2:$W$500,W445,$D$2:$D$500,"invoice",$A$2:$A$500,"line"),"")</f>
        <v/>
      </c>
      <c r="AA445" s="2">
        <f>IF(AND(A445="line",D445="invoice"),COUNTIFS($W$2:$W$500,W445,$D$2:$D$500,"quote",$A$2:$A$500,"line"),"")</f>
        <v/>
      </c>
      <c r="AB445" s="2">
        <f>IF(A445&lt;&gt;"line","",IF(D445="quote",IF(Z445=0,"quote only",IF(ABS(Y445-N445)&gt;Settings!$B$2,"amount differs","match")),IF(AA445=0,"invoice only","match")))</f>
        <v/>
      </c>
      <c r="AC445" s="2">
        <f>IF(AND(A445="line",AB445&lt;&gt;"match",COUNTIFS($A$2:$A$500,"coverage",$B$2:$B$500,B445,$C$2:$C$500,C445,$D$2:$D$500,"invoice")&gt;0),MAX($AC$1:AC444)+1,"")</f>
        <v/>
      </c>
      <c r="AD445" s="2">
        <f>IF(A445&lt;&gt;"line","",IF(O445="UNMAPPED","no mapping rule",IF(P445="L","low confidence","")))</f>
        <v/>
      </c>
      <c r="AE445" s="2">
        <f>IF(AD445&lt;&gt;"",MAX($AE$1:AE444)+1,"")</f>
        <v/>
      </c>
      <c r="AF445" s="2">
        <f>IF(A445="coverage",MAX($AF$1:AF444)+1,"")</f>
        <v/>
      </c>
      <c r="AG445" s="2">
        <f>IF(A445="line",IF(COUNTIFS($B$1:B444,B445,$C$1:C444,C445,$A$1:A444,"line")=0,MAX($AG$1:AG444)+1,""),"")</f>
        <v/>
      </c>
    </row>
    <row r="446">
      <c r="W446" s="2">
        <f>IF(A446="line",IF(D446="quote",E446,G446)&amp;"|"&amp;LOWER(TRIM(K446)),"")</f>
        <v/>
      </c>
      <c r="X446" s="2">
        <f>IF(OR(O446="LABOUR",O446="INSTALL"),"LABOUR_ALL",IF(O446="","",O446))</f>
        <v/>
      </c>
      <c r="Y446" s="9">
        <f>IF(AND(A446="line",D446="quote"),SUMIFS($N$2:$N$500,$W$2:$W$500,W446,$D$2:$D$500,"invoice",$A$2:$A$500,"line"),"")</f>
        <v/>
      </c>
      <c r="Z446" s="2">
        <f>IF(AND(A446="line",D446="quote"),COUNTIFS($W$2:$W$500,W446,$D$2:$D$500,"invoice",$A$2:$A$500,"line"),"")</f>
        <v/>
      </c>
      <c r="AA446" s="2">
        <f>IF(AND(A446="line",D446="invoice"),COUNTIFS($W$2:$W$500,W446,$D$2:$D$500,"quote",$A$2:$A$500,"line"),"")</f>
        <v/>
      </c>
      <c r="AB446" s="2">
        <f>IF(A446&lt;&gt;"line","",IF(D446="quote",IF(Z446=0,"quote only",IF(ABS(Y446-N446)&gt;Settings!$B$2,"amount differs","match")),IF(AA446=0,"invoice only","match")))</f>
        <v/>
      </c>
      <c r="AC446" s="2">
        <f>IF(AND(A446="line",AB446&lt;&gt;"match",COUNTIFS($A$2:$A$500,"coverage",$B$2:$B$500,B446,$C$2:$C$500,C446,$D$2:$D$500,"invoice")&gt;0),MAX($AC$1:AC445)+1,"")</f>
        <v/>
      </c>
      <c r="AD446" s="2">
        <f>IF(A446&lt;&gt;"line","",IF(O446="UNMAPPED","no mapping rule",IF(P446="L","low confidence","")))</f>
        <v/>
      </c>
      <c r="AE446" s="2">
        <f>IF(AD446&lt;&gt;"",MAX($AE$1:AE445)+1,"")</f>
        <v/>
      </c>
      <c r="AF446" s="2">
        <f>IF(A446="coverage",MAX($AF$1:AF445)+1,"")</f>
        <v/>
      </c>
      <c r="AG446" s="2">
        <f>IF(A446="line",IF(COUNTIFS($B$1:B445,B446,$C$1:C445,C446,$A$1:A445,"line")=0,MAX($AG$1:AG445)+1,""),"")</f>
        <v/>
      </c>
    </row>
    <row r="447">
      <c r="W447" s="2">
        <f>IF(A447="line",IF(D447="quote",E447,G447)&amp;"|"&amp;LOWER(TRIM(K447)),"")</f>
        <v/>
      </c>
      <c r="X447" s="2">
        <f>IF(OR(O447="LABOUR",O447="INSTALL"),"LABOUR_ALL",IF(O447="","",O447))</f>
        <v/>
      </c>
      <c r="Y447" s="9">
        <f>IF(AND(A447="line",D447="quote"),SUMIFS($N$2:$N$500,$W$2:$W$500,W447,$D$2:$D$500,"invoice",$A$2:$A$500,"line"),"")</f>
        <v/>
      </c>
      <c r="Z447" s="2">
        <f>IF(AND(A447="line",D447="quote"),COUNTIFS($W$2:$W$500,W447,$D$2:$D$500,"invoice",$A$2:$A$500,"line"),"")</f>
        <v/>
      </c>
      <c r="AA447" s="2">
        <f>IF(AND(A447="line",D447="invoice"),COUNTIFS($W$2:$W$500,W447,$D$2:$D$500,"quote",$A$2:$A$500,"line"),"")</f>
        <v/>
      </c>
      <c r="AB447" s="2">
        <f>IF(A447&lt;&gt;"line","",IF(D447="quote",IF(Z447=0,"quote only",IF(ABS(Y447-N447)&gt;Settings!$B$2,"amount differs","match")),IF(AA447=0,"invoice only","match")))</f>
        <v/>
      </c>
      <c r="AC447" s="2">
        <f>IF(AND(A447="line",AB447&lt;&gt;"match",COUNTIFS($A$2:$A$500,"coverage",$B$2:$B$500,B447,$C$2:$C$500,C447,$D$2:$D$500,"invoice")&gt;0),MAX($AC$1:AC446)+1,"")</f>
        <v/>
      </c>
      <c r="AD447" s="2">
        <f>IF(A447&lt;&gt;"line","",IF(O447="UNMAPPED","no mapping rule",IF(P447="L","low confidence","")))</f>
        <v/>
      </c>
      <c r="AE447" s="2">
        <f>IF(AD447&lt;&gt;"",MAX($AE$1:AE446)+1,"")</f>
        <v/>
      </c>
      <c r="AF447" s="2">
        <f>IF(A447="coverage",MAX($AF$1:AF446)+1,"")</f>
        <v/>
      </c>
      <c r="AG447" s="2">
        <f>IF(A447="line",IF(COUNTIFS($B$1:B446,B447,$C$1:C446,C447,$A$1:A446,"line")=0,MAX($AG$1:AG446)+1,""),"")</f>
        <v/>
      </c>
    </row>
    <row r="448">
      <c r="W448" s="2">
        <f>IF(A448="line",IF(D448="quote",E448,G448)&amp;"|"&amp;LOWER(TRIM(K448)),"")</f>
        <v/>
      </c>
      <c r="X448" s="2">
        <f>IF(OR(O448="LABOUR",O448="INSTALL"),"LABOUR_ALL",IF(O448="","",O448))</f>
        <v/>
      </c>
      <c r="Y448" s="9">
        <f>IF(AND(A448="line",D448="quote"),SUMIFS($N$2:$N$500,$W$2:$W$500,W448,$D$2:$D$500,"invoice",$A$2:$A$500,"line"),"")</f>
        <v/>
      </c>
      <c r="Z448" s="2">
        <f>IF(AND(A448="line",D448="quote"),COUNTIFS($W$2:$W$500,W448,$D$2:$D$500,"invoice",$A$2:$A$500,"line"),"")</f>
        <v/>
      </c>
      <c r="AA448" s="2">
        <f>IF(AND(A448="line",D448="invoice"),COUNTIFS($W$2:$W$500,W448,$D$2:$D$500,"quote",$A$2:$A$500,"line"),"")</f>
        <v/>
      </c>
      <c r="AB448" s="2">
        <f>IF(A448&lt;&gt;"line","",IF(D448="quote",IF(Z448=0,"quote only",IF(ABS(Y448-N448)&gt;Settings!$B$2,"amount differs","match")),IF(AA448=0,"invoice only","match")))</f>
        <v/>
      </c>
      <c r="AC448" s="2">
        <f>IF(AND(A448="line",AB448&lt;&gt;"match",COUNTIFS($A$2:$A$500,"coverage",$B$2:$B$500,B448,$C$2:$C$500,C448,$D$2:$D$500,"invoice")&gt;0),MAX($AC$1:AC447)+1,"")</f>
        <v/>
      </c>
      <c r="AD448" s="2">
        <f>IF(A448&lt;&gt;"line","",IF(O448="UNMAPPED","no mapping rule",IF(P448="L","low confidence","")))</f>
        <v/>
      </c>
      <c r="AE448" s="2">
        <f>IF(AD448&lt;&gt;"",MAX($AE$1:AE447)+1,"")</f>
        <v/>
      </c>
      <c r="AF448" s="2">
        <f>IF(A448="coverage",MAX($AF$1:AF447)+1,"")</f>
        <v/>
      </c>
      <c r="AG448" s="2">
        <f>IF(A448="line",IF(COUNTIFS($B$1:B447,B448,$C$1:C447,C448,$A$1:A447,"line")=0,MAX($AG$1:AG447)+1,""),"")</f>
        <v/>
      </c>
    </row>
    <row r="449">
      <c r="W449" s="2">
        <f>IF(A449="line",IF(D449="quote",E449,G449)&amp;"|"&amp;LOWER(TRIM(K449)),"")</f>
        <v/>
      </c>
      <c r="X449" s="2">
        <f>IF(OR(O449="LABOUR",O449="INSTALL"),"LABOUR_ALL",IF(O449="","",O449))</f>
        <v/>
      </c>
      <c r="Y449" s="9">
        <f>IF(AND(A449="line",D449="quote"),SUMIFS($N$2:$N$500,$W$2:$W$500,W449,$D$2:$D$500,"invoice",$A$2:$A$500,"line"),"")</f>
        <v/>
      </c>
      <c r="Z449" s="2">
        <f>IF(AND(A449="line",D449="quote"),COUNTIFS($W$2:$W$500,W449,$D$2:$D$500,"invoice",$A$2:$A$500,"line"),"")</f>
        <v/>
      </c>
      <c r="AA449" s="2">
        <f>IF(AND(A449="line",D449="invoice"),COUNTIFS($W$2:$W$500,W449,$D$2:$D$500,"quote",$A$2:$A$500,"line"),"")</f>
        <v/>
      </c>
      <c r="AB449" s="2">
        <f>IF(A449&lt;&gt;"line","",IF(D449="quote",IF(Z449=0,"quote only",IF(ABS(Y449-N449)&gt;Settings!$B$2,"amount differs","match")),IF(AA449=0,"invoice only","match")))</f>
        <v/>
      </c>
      <c r="AC449" s="2">
        <f>IF(AND(A449="line",AB449&lt;&gt;"match",COUNTIFS($A$2:$A$500,"coverage",$B$2:$B$500,B449,$C$2:$C$500,C449,$D$2:$D$500,"invoice")&gt;0),MAX($AC$1:AC448)+1,"")</f>
        <v/>
      </c>
      <c r="AD449" s="2">
        <f>IF(A449&lt;&gt;"line","",IF(O449="UNMAPPED","no mapping rule",IF(P449="L","low confidence","")))</f>
        <v/>
      </c>
      <c r="AE449" s="2">
        <f>IF(AD449&lt;&gt;"",MAX($AE$1:AE448)+1,"")</f>
        <v/>
      </c>
      <c r="AF449" s="2">
        <f>IF(A449="coverage",MAX($AF$1:AF448)+1,"")</f>
        <v/>
      </c>
      <c r="AG449" s="2">
        <f>IF(A449="line",IF(COUNTIFS($B$1:B448,B449,$C$1:C448,C449,$A$1:A448,"line")=0,MAX($AG$1:AG448)+1,""),"")</f>
        <v/>
      </c>
    </row>
    <row r="450">
      <c r="W450" s="2">
        <f>IF(A450="line",IF(D450="quote",E450,G450)&amp;"|"&amp;LOWER(TRIM(K450)),"")</f>
        <v/>
      </c>
      <c r="X450" s="2">
        <f>IF(OR(O450="LABOUR",O450="INSTALL"),"LABOUR_ALL",IF(O450="","",O450))</f>
        <v/>
      </c>
      <c r="Y450" s="9">
        <f>IF(AND(A450="line",D450="quote"),SUMIFS($N$2:$N$500,$W$2:$W$500,W450,$D$2:$D$500,"invoice",$A$2:$A$500,"line"),"")</f>
        <v/>
      </c>
      <c r="Z450" s="2">
        <f>IF(AND(A450="line",D450="quote"),COUNTIFS($W$2:$W$500,W450,$D$2:$D$500,"invoice",$A$2:$A$500,"line"),"")</f>
        <v/>
      </c>
      <c r="AA450" s="2">
        <f>IF(AND(A450="line",D450="invoice"),COUNTIFS($W$2:$W$500,W450,$D$2:$D$500,"quote",$A$2:$A$500,"line"),"")</f>
        <v/>
      </c>
      <c r="AB450" s="2">
        <f>IF(A450&lt;&gt;"line","",IF(D450="quote",IF(Z450=0,"quote only",IF(ABS(Y450-N450)&gt;Settings!$B$2,"amount differs","match")),IF(AA450=0,"invoice only","match")))</f>
        <v/>
      </c>
      <c r="AC450" s="2">
        <f>IF(AND(A450="line",AB450&lt;&gt;"match",COUNTIFS($A$2:$A$500,"coverage",$B$2:$B$500,B450,$C$2:$C$500,C450,$D$2:$D$500,"invoice")&gt;0),MAX($AC$1:AC449)+1,"")</f>
        <v/>
      </c>
      <c r="AD450" s="2">
        <f>IF(A450&lt;&gt;"line","",IF(O450="UNMAPPED","no mapping rule",IF(P450="L","low confidence","")))</f>
        <v/>
      </c>
      <c r="AE450" s="2">
        <f>IF(AD450&lt;&gt;"",MAX($AE$1:AE449)+1,"")</f>
        <v/>
      </c>
      <c r="AF450" s="2">
        <f>IF(A450="coverage",MAX($AF$1:AF449)+1,"")</f>
        <v/>
      </c>
      <c r="AG450" s="2">
        <f>IF(A450="line",IF(COUNTIFS($B$1:B449,B450,$C$1:C449,C450,$A$1:A449,"line")=0,MAX($AG$1:AG449)+1,""),"")</f>
        <v/>
      </c>
    </row>
    <row r="451">
      <c r="W451" s="2">
        <f>IF(A451="line",IF(D451="quote",E451,G451)&amp;"|"&amp;LOWER(TRIM(K451)),"")</f>
        <v/>
      </c>
      <c r="X451" s="2">
        <f>IF(OR(O451="LABOUR",O451="INSTALL"),"LABOUR_ALL",IF(O451="","",O451))</f>
        <v/>
      </c>
      <c r="Y451" s="9">
        <f>IF(AND(A451="line",D451="quote"),SUMIFS($N$2:$N$500,$W$2:$W$500,W451,$D$2:$D$500,"invoice",$A$2:$A$500,"line"),"")</f>
        <v/>
      </c>
      <c r="Z451" s="2">
        <f>IF(AND(A451="line",D451="quote"),COUNTIFS($W$2:$W$500,W451,$D$2:$D$500,"invoice",$A$2:$A$500,"line"),"")</f>
        <v/>
      </c>
      <c r="AA451" s="2">
        <f>IF(AND(A451="line",D451="invoice"),COUNTIFS($W$2:$W$500,W451,$D$2:$D$500,"quote",$A$2:$A$500,"line"),"")</f>
        <v/>
      </c>
      <c r="AB451" s="2">
        <f>IF(A451&lt;&gt;"line","",IF(D451="quote",IF(Z451=0,"quote only",IF(ABS(Y451-N451)&gt;Settings!$B$2,"amount differs","match")),IF(AA451=0,"invoice only","match")))</f>
        <v/>
      </c>
      <c r="AC451" s="2">
        <f>IF(AND(A451="line",AB451&lt;&gt;"match",COUNTIFS($A$2:$A$500,"coverage",$B$2:$B$500,B451,$C$2:$C$500,C451,$D$2:$D$500,"invoice")&gt;0),MAX($AC$1:AC450)+1,"")</f>
        <v/>
      </c>
      <c r="AD451" s="2">
        <f>IF(A451&lt;&gt;"line","",IF(O451="UNMAPPED","no mapping rule",IF(P451="L","low confidence","")))</f>
        <v/>
      </c>
      <c r="AE451" s="2">
        <f>IF(AD451&lt;&gt;"",MAX($AE$1:AE450)+1,"")</f>
        <v/>
      </c>
      <c r="AF451" s="2">
        <f>IF(A451="coverage",MAX($AF$1:AF450)+1,"")</f>
        <v/>
      </c>
      <c r="AG451" s="2">
        <f>IF(A451="line",IF(COUNTIFS($B$1:B450,B451,$C$1:C450,C451,$A$1:A450,"line")=0,MAX($AG$1:AG450)+1,""),"")</f>
        <v/>
      </c>
    </row>
    <row r="452">
      <c r="W452" s="2">
        <f>IF(A452="line",IF(D452="quote",E452,G452)&amp;"|"&amp;LOWER(TRIM(K452)),"")</f>
        <v/>
      </c>
      <c r="X452" s="2">
        <f>IF(OR(O452="LABOUR",O452="INSTALL"),"LABOUR_ALL",IF(O452="","",O452))</f>
        <v/>
      </c>
      <c r="Y452" s="9">
        <f>IF(AND(A452="line",D452="quote"),SUMIFS($N$2:$N$500,$W$2:$W$500,W452,$D$2:$D$500,"invoice",$A$2:$A$500,"line"),"")</f>
        <v/>
      </c>
      <c r="Z452" s="2">
        <f>IF(AND(A452="line",D452="quote"),COUNTIFS($W$2:$W$500,W452,$D$2:$D$500,"invoice",$A$2:$A$500,"line"),"")</f>
        <v/>
      </c>
      <c r="AA452" s="2">
        <f>IF(AND(A452="line",D452="invoice"),COUNTIFS($W$2:$W$500,W452,$D$2:$D$500,"quote",$A$2:$A$500,"line"),"")</f>
        <v/>
      </c>
      <c r="AB452" s="2">
        <f>IF(A452&lt;&gt;"line","",IF(D452="quote",IF(Z452=0,"quote only",IF(ABS(Y452-N452)&gt;Settings!$B$2,"amount differs","match")),IF(AA452=0,"invoice only","match")))</f>
        <v/>
      </c>
      <c r="AC452" s="2">
        <f>IF(AND(A452="line",AB452&lt;&gt;"match",COUNTIFS($A$2:$A$500,"coverage",$B$2:$B$500,B452,$C$2:$C$500,C452,$D$2:$D$500,"invoice")&gt;0),MAX($AC$1:AC451)+1,"")</f>
        <v/>
      </c>
      <c r="AD452" s="2">
        <f>IF(A452&lt;&gt;"line","",IF(O452="UNMAPPED","no mapping rule",IF(P452="L","low confidence","")))</f>
        <v/>
      </c>
      <c r="AE452" s="2">
        <f>IF(AD452&lt;&gt;"",MAX($AE$1:AE451)+1,"")</f>
        <v/>
      </c>
      <c r="AF452" s="2">
        <f>IF(A452="coverage",MAX($AF$1:AF451)+1,"")</f>
        <v/>
      </c>
      <c r="AG452" s="2">
        <f>IF(A452="line",IF(COUNTIFS($B$1:B451,B452,$C$1:C451,C452,$A$1:A451,"line")=0,MAX($AG$1:AG451)+1,""),"")</f>
        <v/>
      </c>
    </row>
    <row r="453">
      <c r="W453" s="2">
        <f>IF(A453="line",IF(D453="quote",E453,G453)&amp;"|"&amp;LOWER(TRIM(K453)),"")</f>
        <v/>
      </c>
      <c r="X453" s="2">
        <f>IF(OR(O453="LABOUR",O453="INSTALL"),"LABOUR_ALL",IF(O453="","",O453))</f>
        <v/>
      </c>
      <c r="Y453" s="9">
        <f>IF(AND(A453="line",D453="quote"),SUMIFS($N$2:$N$500,$W$2:$W$500,W453,$D$2:$D$500,"invoice",$A$2:$A$500,"line"),"")</f>
        <v/>
      </c>
      <c r="Z453" s="2">
        <f>IF(AND(A453="line",D453="quote"),COUNTIFS($W$2:$W$500,W453,$D$2:$D$500,"invoice",$A$2:$A$500,"line"),"")</f>
        <v/>
      </c>
      <c r="AA453" s="2">
        <f>IF(AND(A453="line",D453="invoice"),COUNTIFS($W$2:$W$500,W453,$D$2:$D$500,"quote",$A$2:$A$500,"line"),"")</f>
        <v/>
      </c>
      <c r="AB453" s="2">
        <f>IF(A453&lt;&gt;"line","",IF(D453="quote",IF(Z453=0,"quote only",IF(ABS(Y453-N453)&gt;Settings!$B$2,"amount differs","match")),IF(AA453=0,"invoice only","match")))</f>
        <v/>
      </c>
      <c r="AC453" s="2">
        <f>IF(AND(A453="line",AB453&lt;&gt;"match",COUNTIFS($A$2:$A$500,"coverage",$B$2:$B$500,B453,$C$2:$C$500,C453,$D$2:$D$500,"invoice")&gt;0),MAX($AC$1:AC452)+1,"")</f>
        <v/>
      </c>
      <c r="AD453" s="2">
        <f>IF(A453&lt;&gt;"line","",IF(O453="UNMAPPED","no mapping rule",IF(P453="L","low confidence","")))</f>
        <v/>
      </c>
      <c r="AE453" s="2">
        <f>IF(AD453&lt;&gt;"",MAX($AE$1:AE452)+1,"")</f>
        <v/>
      </c>
      <c r="AF453" s="2">
        <f>IF(A453="coverage",MAX($AF$1:AF452)+1,"")</f>
        <v/>
      </c>
      <c r="AG453" s="2">
        <f>IF(A453="line",IF(COUNTIFS($B$1:B452,B453,$C$1:C452,C453,$A$1:A452,"line")=0,MAX($AG$1:AG452)+1,""),"")</f>
        <v/>
      </c>
    </row>
    <row r="454">
      <c r="W454" s="2">
        <f>IF(A454="line",IF(D454="quote",E454,G454)&amp;"|"&amp;LOWER(TRIM(K454)),"")</f>
        <v/>
      </c>
      <c r="X454" s="2">
        <f>IF(OR(O454="LABOUR",O454="INSTALL"),"LABOUR_ALL",IF(O454="","",O454))</f>
        <v/>
      </c>
      <c r="Y454" s="9">
        <f>IF(AND(A454="line",D454="quote"),SUMIFS($N$2:$N$500,$W$2:$W$500,W454,$D$2:$D$500,"invoice",$A$2:$A$500,"line"),"")</f>
        <v/>
      </c>
      <c r="Z454" s="2">
        <f>IF(AND(A454="line",D454="quote"),COUNTIFS($W$2:$W$500,W454,$D$2:$D$500,"invoice",$A$2:$A$500,"line"),"")</f>
        <v/>
      </c>
      <c r="AA454" s="2">
        <f>IF(AND(A454="line",D454="invoice"),COUNTIFS($W$2:$W$500,W454,$D$2:$D$500,"quote",$A$2:$A$500,"line"),"")</f>
        <v/>
      </c>
      <c r="AB454" s="2">
        <f>IF(A454&lt;&gt;"line","",IF(D454="quote",IF(Z454=0,"quote only",IF(ABS(Y454-N454)&gt;Settings!$B$2,"amount differs","match")),IF(AA454=0,"invoice only","match")))</f>
        <v/>
      </c>
      <c r="AC454" s="2">
        <f>IF(AND(A454="line",AB454&lt;&gt;"match",COUNTIFS($A$2:$A$500,"coverage",$B$2:$B$500,B454,$C$2:$C$500,C454,$D$2:$D$500,"invoice")&gt;0),MAX($AC$1:AC453)+1,"")</f>
        <v/>
      </c>
      <c r="AD454" s="2">
        <f>IF(A454&lt;&gt;"line","",IF(O454="UNMAPPED","no mapping rule",IF(P454="L","low confidence","")))</f>
        <v/>
      </c>
      <c r="AE454" s="2">
        <f>IF(AD454&lt;&gt;"",MAX($AE$1:AE453)+1,"")</f>
        <v/>
      </c>
      <c r="AF454" s="2">
        <f>IF(A454="coverage",MAX($AF$1:AF453)+1,"")</f>
        <v/>
      </c>
      <c r="AG454" s="2">
        <f>IF(A454="line",IF(COUNTIFS($B$1:B453,B454,$C$1:C453,C454,$A$1:A453,"line")=0,MAX($AG$1:AG453)+1,""),"")</f>
        <v/>
      </c>
    </row>
    <row r="455">
      <c r="W455" s="2">
        <f>IF(A455="line",IF(D455="quote",E455,G455)&amp;"|"&amp;LOWER(TRIM(K455)),"")</f>
        <v/>
      </c>
      <c r="X455" s="2">
        <f>IF(OR(O455="LABOUR",O455="INSTALL"),"LABOUR_ALL",IF(O455="","",O455))</f>
        <v/>
      </c>
      <c r="Y455" s="9">
        <f>IF(AND(A455="line",D455="quote"),SUMIFS($N$2:$N$500,$W$2:$W$500,W455,$D$2:$D$500,"invoice",$A$2:$A$500,"line"),"")</f>
        <v/>
      </c>
      <c r="Z455" s="2">
        <f>IF(AND(A455="line",D455="quote"),COUNTIFS($W$2:$W$500,W455,$D$2:$D$500,"invoice",$A$2:$A$500,"line"),"")</f>
        <v/>
      </c>
      <c r="AA455" s="2">
        <f>IF(AND(A455="line",D455="invoice"),COUNTIFS($W$2:$W$500,W455,$D$2:$D$500,"quote",$A$2:$A$500,"line"),"")</f>
        <v/>
      </c>
      <c r="AB455" s="2">
        <f>IF(A455&lt;&gt;"line","",IF(D455="quote",IF(Z455=0,"quote only",IF(ABS(Y455-N455)&gt;Settings!$B$2,"amount differs","match")),IF(AA455=0,"invoice only","match")))</f>
        <v/>
      </c>
      <c r="AC455" s="2">
        <f>IF(AND(A455="line",AB455&lt;&gt;"match",COUNTIFS($A$2:$A$500,"coverage",$B$2:$B$500,B455,$C$2:$C$500,C455,$D$2:$D$500,"invoice")&gt;0),MAX($AC$1:AC454)+1,"")</f>
        <v/>
      </c>
      <c r="AD455" s="2">
        <f>IF(A455&lt;&gt;"line","",IF(O455="UNMAPPED","no mapping rule",IF(P455="L","low confidence","")))</f>
        <v/>
      </c>
      <c r="AE455" s="2">
        <f>IF(AD455&lt;&gt;"",MAX($AE$1:AE454)+1,"")</f>
        <v/>
      </c>
      <c r="AF455" s="2">
        <f>IF(A455="coverage",MAX($AF$1:AF454)+1,"")</f>
        <v/>
      </c>
      <c r="AG455" s="2">
        <f>IF(A455="line",IF(COUNTIFS($B$1:B454,B455,$C$1:C454,C455,$A$1:A454,"line")=0,MAX($AG$1:AG454)+1,""),"")</f>
        <v/>
      </c>
    </row>
    <row r="456">
      <c r="W456" s="2">
        <f>IF(A456="line",IF(D456="quote",E456,G456)&amp;"|"&amp;LOWER(TRIM(K456)),"")</f>
        <v/>
      </c>
      <c r="X456" s="2">
        <f>IF(OR(O456="LABOUR",O456="INSTALL"),"LABOUR_ALL",IF(O456="","",O456))</f>
        <v/>
      </c>
      <c r="Y456" s="9">
        <f>IF(AND(A456="line",D456="quote"),SUMIFS($N$2:$N$500,$W$2:$W$500,W456,$D$2:$D$500,"invoice",$A$2:$A$500,"line"),"")</f>
        <v/>
      </c>
      <c r="Z456" s="2">
        <f>IF(AND(A456="line",D456="quote"),COUNTIFS($W$2:$W$500,W456,$D$2:$D$500,"invoice",$A$2:$A$500,"line"),"")</f>
        <v/>
      </c>
      <c r="AA456" s="2">
        <f>IF(AND(A456="line",D456="invoice"),COUNTIFS($W$2:$W$500,W456,$D$2:$D$500,"quote",$A$2:$A$500,"line"),"")</f>
        <v/>
      </c>
      <c r="AB456" s="2">
        <f>IF(A456&lt;&gt;"line","",IF(D456="quote",IF(Z456=0,"quote only",IF(ABS(Y456-N456)&gt;Settings!$B$2,"amount differs","match")),IF(AA456=0,"invoice only","match")))</f>
        <v/>
      </c>
      <c r="AC456" s="2">
        <f>IF(AND(A456="line",AB456&lt;&gt;"match",COUNTIFS($A$2:$A$500,"coverage",$B$2:$B$500,B456,$C$2:$C$500,C456,$D$2:$D$500,"invoice")&gt;0),MAX($AC$1:AC455)+1,"")</f>
        <v/>
      </c>
      <c r="AD456" s="2">
        <f>IF(A456&lt;&gt;"line","",IF(O456="UNMAPPED","no mapping rule",IF(P456="L","low confidence","")))</f>
        <v/>
      </c>
      <c r="AE456" s="2">
        <f>IF(AD456&lt;&gt;"",MAX($AE$1:AE455)+1,"")</f>
        <v/>
      </c>
      <c r="AF456" s="2">
        <f>IF(A456="coverage",MAX($AF$1:AF455)+1,"")</f>
        <v/>
      </c>
      <c r="AG456" s="2">
        <f>IF(A456="line",IF(COUNTIFS($B$1:B455,B456,$C$1:C455,C456,$A$1:A455,"line")=0,MAX($AG$1:AG455)+1,""),"")</f>
        <v/>
      </c>
    </row>
    <row r="457">
      <c r="W457" s="2">
        <f>IF(A457="line",IF(D457="quote",E457,G457)&amp;"|"&amp;LOWER(TRIM(K457)),"")</f>
        <v/>
      </c>
      <c r="X457" s="2">
        <f>IF(OR(O457="LABOUR",O457="INSTALL"),"LABOUR_ALL",IF(O457="","",O457))</f>
        <v/>
      </c>
      <c r="Y457" s="9">
        <f>IF(AND(A457="line",D457="quote"),SUMIFS($N$2:$N$500,$W$2:$W$500,W457,$D$2:$D$500,"invoice",$A$2:$A$500,"line"),"")</f>
        <v/>
      </c>
      <c r="Z457" s="2">
        <f>IF(AND(A457="line",D457="quote"),COUNTIFS($W$2:$W$500,W457,$D$2:$D$500,"invoice",$A$2:$A$500,"line"),"")</f>
        <v/>
      </c>
      <c r="AA457" s="2">
        <f>IF(AND(A457="line",D457="invoice"),COUNTIFS($W$2:$W$500,W457,$D$2:$D$500,"quote",$A$2:$A$500,"line"),"")</f>
        <v/>
      </c>
      <c r="AB457" s="2">
        <f>IF(A457&lt;&gt;"line","",IF(D457="quote",IF(Z457=0,"quote only",IF(ABS(Y457-N457)&gt;Settings!$B$2,"amount differs","match")),IF(AA457=0,"invoice only","match")))</f>
        <v/>
      </c>
      <c r="AC457" s="2">
        <f>IF(AND(A457="line",AB457&lt;&gt;"match",COUNTIFS($A$2:$A$500,"coverage",$B$2:$B$500,B457,$C$2:$C$500,C457,$D$2:$D$500,"invoice")&gt;0),MAX($AC$1:AC456)+1,"")</f>
        <v/>
      </c>
      <c r="AD457" s="2">
        <f>IF(A457&lt;&gt;"line","",IF(O457="UNMAPPED","no mapping rule",IF(P457="L","low confidence","")))</f>
        <v/>
      </c>
      <c r="AE457" s="2">
        <f>IF(AD457&lt;&gt;"",MAX($AE$1:AE456)+1,"")</f>
        <v/>
      </c>
      <c r="AF457" s="2">
        <f>IF(A457="coverage",MAX($AF$1:AF456)+1,"")</f>
        <v/>
      </c>
      <c r="AG457" s="2">
        <f>IF(A457="line",IF(COUNTIFS($B$1:B456,B457,$C$1:C456,C457,$A$1:A456,"line")=0,MAX($AG$1:AG456)+1,""),"")</f>
        <v/>
      </c>
    </row>
    <row r="458">
      <c r="W458" s="2">
        <f>IF(A458="line",IF(D458="quote",E458,G458)&amp;"|"&amp;LOWER(TRIM(K458)),"")</f>
        <v/>
      </c>
      <c r="X458" s="2">
        <f>IF(OR(O458="LABOUR",O458="INSTALL"),"LABOUR_ALL",IF(O458="","",O458))</f>
        <v/>
      </c>
      <c r="Y458" s="9">
        <f>IF(AND(A458="line",D458="quote"),SUMIFS($N$2:$N$500,$W$2:$W$500,W458,$D$2:$D$500,"invoice",$A$2:$A$500,"line"),"")</f>
        <v/>
      </c>
      <c r="Z458" s="2">
        <f>IF(AND(A458="line",D458="quote"),COUNTIFS($W$2:$W$500,W458,$D$2:$D$500,"invoice",$A$2:$A$500,"line"),"")</f>
        <v/>
      </c>
      <c r="AA458" s="2">
        <f>IF(AND(A458="line",D458="invoice"),COUNTIFS($W$2:$W$500,W458,$D$2:$D$500,"quote",$A$2:$A$500,"line"),"")</f>
        <v/>
      </c>
      <c r="AB458" s="2">
        <f>IF(A458&lt;&gt;"line","",IF(D458="quote",IF(Z458=0,"quote only",IF(ABS(Y458-N458)&gt;Settings!$B$2,"amount differs","match")),IF(AA458=0,"invoice only","match")))</f>
        <v/>
      </c>
      <c r="AC458" s="2">
        <f>IF(AND(A458="line",AB458&lt;&gt;"match",COUNTIFS($A$2:$A$500,"coverage",$B$2:$B$500,B458,$C$2:$C$500,C458,$D$2:$D$500,"invoice")&gt;0),MAX($AC$1:AC457)+1,"")</f>
        <v/>
      </c>
      <c r="AD458" s="2">
        <f>IF(A458&lt;&gt;"line","",IF(O458="UNMAPPED","no mapping rule",IF(P458="L","low confidence","")))</f>
        <v/>
      </c>
      <c r="AE458" s="2">
        <f>IF(AD458&lt;&gt;"",MAX($AE$1:AE457)+1,"")</f>
        <v/>
      </c>
      <c r="AF458" s="2">
        <f>IF(A458="coverage",MAX($AF$1:AF457)+1,"")</f>
        <v/>
      </c>
      <c r="AG458" s="2">
        <f>IF(A458="line",IF(COUNTIFS($B$1:B457,B458,$C$1:C457,C458,$A$1:A457,"line")=0,MAX($AG$1:AG457)+1,""),"")</f>
        <v/>
      </c>
    </row>
    <row r="459">
      <c r="W459" s="2">
        <f>IF(A459="line",IF(D459="quote",E459,G459)&amp;"|"&amp;LOWER(TRIM(K459)),"")</f>
        <v/>
      </c>
      <c r="X459" s="2">
        <f>IF(OR(O459="LABOUR",O459="INSTALL"),"LABOUR_ALL",IF(O459="","",O459))</f>
        <v/>
      </c>
      <c r="Y459" s="9">
        <f>IF(AND(A459="line",D459="quote"),SUMIFS($N$2:$N$500,$W$2:$W$500,W459,$D$2:$D$500,"invoice",$A$2:$A$500,"line"),"")</f>
        <v/>
      </c>
      <c r="Z459" s="2">
        <f>IF(AND(A459="line",D459="quote"),COUNTIFS($W$2:$W$500,W459,$D$2:$D$500,"invoice",$A$2:$A$500,"line"),"")</f>
        <v/>
      </c>
      <c r="AA459" s="2">
        <f>IF(AND(A459="line",D459="invoice"),COUNTIFS($W$2:$W$500,W459,$D$2:$D$500,"quote",$A$2:$A$500,"line"),"")</f>
        <v/>
      </c>
      <c r="AB459" s="2">
        <f>IF(A459&lt;&gt;"line","",IF(D459="quote",IF(Z459=0,"quote only",IF(ABS(Y459-N459)&gt;Settings!$B$2,"amount differs","match")),IF(AA459=0,"invoice only","match")))</f>
        <v/>
      </c>
      <c r="AC459" s="2">
        <f>IF(AND(A459="line",AB459&lt;&gt;"match",COUNTIFS($A$2:$A$500,"coverage",$B$2:$B$500,B459,$C$2:$C$500,C459,$D$2:$D$500,"invoice")&gt;0),MAX($AC$1:AC458)+1,"")</f>
        <v/>
      </c>
      <c r="AD459" s="2">
        <f>IF(A459&lt;&gt;"line","",IF(O459="UNMAPPED","no mapping rule",IF(P459="L","low confidence","")))</f>
        <v/>
      </c>
      <c r="AE459" s="2">
        <f>IF(AD459&lt;&gt;"",MAX($AE$1:AE458)+1,"")</f>
        <v/>
      </c>
      <c r="AF459" s="2">
        <f>IF(A459="coverage",MAX($AF$1:AF458)+1,"")</f>
        <v/>
      </c>
      <c r="AG459" s="2">
        <f>IF(A459="line",IF(COUNTIFS($B$1:B458,B459,$C$1:C458,C459,$A$1:A458,"line")=0,MAX($AG$1:AG458)+1,""),"")</f>
        <v/>
      </c>
    </row>
    <row r="460">
      <c r="W460" s="2">
        <f>IF(A460="line",IF(D460="quote",E460,G460)&amp;"|"&amp;LOWER(TRIM(K460)),"")</f>
        <v/>
      </c>
      <c r="X460" s="2">
        <f>IF(OR(O460="LABOUR",O460="INSTALL"),"LABOUR_ALL",IF(O460="","",O460))</f>
        <v/>
      </c>
      <c r="Y460" s="9">
        <f>IF(AND(A460="line",D460="quote"),SUMIFS($N$2:$N$500,$W$2:$W$500,W460,$D$2:$D$500,"invoice",$A$2:$A$500,"line"),"")</f>
        <v/>
      </c>
      <c r="Z460" s="2">
        <f>IF(AND(A460="line",D460="quote"),COUNTIFS($W$2:$W$500,W460,$D$2:$D$500,"invoice",$A$2:$A$500,"line"),"")</f>
        <v/>
      </c>
      <c r="AA460" s="2">
        <f>IF(AND(A460="line",D460="invoice"),COUNTIFS($W$2:$W$500,W460,$D$2:$D$500,"quote",$A$2:$A$500,"line"),"")</f>
        <v/>
      </c>
      <c r="AB460" s="2">
        <f>IF(A460&lt;&gt;"line","",IF(D460="quote",IF(Z460=0,"quote only",IF(ABS(Y460-N460)&gt;Settings!$B$2,"amount differs","match")),IF(AA460=0,"invoice only","match")))</f>
        <v/>
      </c>
      <c r="AC460" s="2">
        <f>IF(AND(A460="line",AB460&lt;&gt;"match",COUNTIFS($A$2:$A$500,"coverage",$B$2:$B$500,B460,$C$2:$C$500,C460,$D$2:$D$500,"invoice")&gt;0),MAX($AC$1:AC459)+1,"")</f>
        <v/>
      </c>
      <c r="AD460" s="2">
        <f>IF(A460&lt;&gt;"line","",IF(O460="UNMAPPED","no mapping rule",IF(P460="L","low confidence","")))</f>
        <v/>
      </c>
      <c r="AE460" s="2">
        <f>IF(AD460&lt;&gt;"",MAX($AE$1:AE459)+1,"")</f>
        <v/>
      </c>
      <c r="AF460" s="2">
        <f>IF(A460="coverage",MAX($AF$1:AF459)+1,"")</f>
        <v/>
      </c>
      <c r="AG460" s="2">
        <f>IF(A460="line",IF(COUNTIFS($B$1:B459,B460,$C$1:C459,C460,$A$1:A459,"line")=0,MAX($AG$1:AG459)+1,""),"")</f>
        <v/>
      </c>
    </row>
    <row r="461">
      <c r="W461" s="2">
        <f>IF(A461="line",IF(D461="quote",E461,G461)&amp;"|"&amp;LOWER(TRIM(K461)),"")</f>
        <v/>
      </c>
      <c r="X461" s="2">
        <f>IF(OR(O461="LABOUR",O461="INSTALL"),"LABOUR_ALL",IF(O461="","",O461))</f>
        <v/>
      </c>
      <c r="Y461" s="9">
        <f>IF(AND(A461="line",D461="quote"),SUMIFS($N$2:$N$500,$W$2:$W$500,W461,$D$2:$D$500,"invoice",$A$2:$A$500,"line"),"")</f>
        <v/>
      </c>
      <c r="Z461" s="2">
        <f>IF(AND(A461="line",D461="quote"),COUNTIFS($W$2:$W$500,W461,$D$2:$D$500,"invoice",$A$2:$A$500,"line"),"")</f>
        <v/>
      </c>
      <c r="AA461" s="2">
        <f>IF(AND(A461="line",D461="invoice"),COUNTIFS($W$2:$W$500,W461,$D$2:$D$500,"quote",$A$2:$A$500,"line"),"")</f>
        <v/>
      </c>
      <c r="AB461" s="2">
        <f>IF(A461&lt;&gt;"line","",IF(D461="quote",IF(Z461=0,"quote only",IF(ABS(Y461-N461)&gt;Settings!$B$2,"amount differs","match")),IF(AA461=0,"invoice only","match")))</f>
        <v/>
      </c>
      <c r="AC461" s="2">
        <f>IF(AND(A461="line",AB461&lt;&gt;"match",COUNTIFS($A$2:$A$500,"coverage",$B$2:$B$500,B461,$C$2:$C$500,C461,$D$2:$D$500,"invoice")&gt;0),MAX($AC$1:AC460)+1,"")</f>
        <v/>
      </c>
      <c r="AD461" s="2">
        <f>IF(A461&lt;&gt;"line","",IF(O461="UNMAPPED","no mapping rule",IF(P461="L","low confidence","")))</f>
        <v/>
      </c>
      <c r="AE461" s="2">
        <f>IF(AD461&lt;&gt;"",MAX($AE$1:AE460)+1,"")</f>
        <v/>
      </c>
      <c r="AF461" s="2">
        <f>IF(A461="coverage",MAX($AF$1:AF460)+1,"")</f>
        <v/>
      </c>
      <c r="AG461" s="2">
        <f>IF(A461="line",IF(COUNTIFS($B$1:B460,B461,$C$1:C460,C461,$A$1:A460,"line")=0,MAX($AG$1:AG460)+1,""),"")</f>
        <v/>
      </c>
    </row>
    <row r="462">
      <c r="W462" s="2">
        <f>IF(A462="line",IF(D462="quote",E462,G462)&amp;"|"&amp;LOWER(TRIM(K462)),"")</f>
        <v/>
      </c>
      <c r="X462" s="2">
        <f>IF(OR(O462="LABOUR",O462="INSTALL"),"LABOUR_ALL",IF(O462="","",O462))</f>
        <v/>
      </c>
      <c r="Y462" s="9">
        <f>IF(AND(A462="line",D462="quote"),SUMIFS($N$2:$N$500,$W$2:$W$500,W462,$D$2:$D$500,"invoice",$A$2:$A$500,"line"),"")</f>
        <v/>
      </c>
      <c r="Z462" s="2">
        <f>IF(AND(A462="line",D462="quote"),COUNTIFS($W$2:$W$500,W462,$D$2:$D$500,"invoice",$A$2:$A$500,"line"),"")</f>
        <v/>
      </c>
      <c r="AA462" s="2">
        <f>IF(AND(A462="line",D462="invoice"),COUNTIFS($W$2:$W$500,W462,$D$2:$D$500,"quote",$A$2:$A$500,"line"),"")</f>
        <v/>
      </c>
      <c r="AB462" s="2">
        <f>IF(A462&lt;&gt;"line","",IF(D462="quote",IF(Z462=0,"quote only",IF(ABS(Y462-N462)&gt;Settings!$B$2,"amount differs","match")),IF(AA462=0,"invoice only","match")))</f>
        <v/>
      </c>
      <c r="AC462" s="2">
        <f>IF(AND(A462="line",AB462&lt;&gt;"match",COUNTIFS($A$2:$A$500,"coverage",$B$2:$B$500,B462,$C$2:$C$500,C462,$D$2:$D$500,"invoice")&gt;0),MAX($AC$1:AC461)+1,"")</f>
        <v/>
      </c>
      <c r="AD462" s="2">
        <f>IF(A462&lt;&gt;"line","",IF(O462="UNMAPPED","no mapping rule",IF(P462="L","low confidence","")))</f>
        <v/>
      </c>
      <c r="AE462" s="2">
        <f>IF(AD462&lt;&gt;"",MAX($AE$1:AE461)+1,"")</f>
        <v/>
      </c>
      <c r="AF462" s="2">
        <f>IF(A462="coverage",MAX($AF$1:AF461)+1,"")</f>
        <v/>
      </c>
      <c r="AG462" s="2">
        <f>IF(A462="line",IF(COUNTIFS($B$1:B461,B462,$C$1:C461,C462,$A$1:A461,"line")=0,MAX($AG$1:AG461)+1,""),"")</f>
        <v/>
      </c>
    </row>
    <row r="463">
      <c r="W463" s="2">
        <f>IF(A463="line",IF(D463="quote",E463,G463)&amp;"|"&amp;LOWER(TRIM(K463)),"")</f>
        <v/>
      </c>
      <c r="X463" s="2">
        <f>IF(OR(O463="LABOUR",O463="INSTALL"),"LABOUR_ALL",IF(O463="","",O463))</f>
        <v/>
      </c>
      <c r="Y463" s="9">
        <f>IF(AND(A463="line",D463="quote"),SUMIFS($N$2:$N$500,$W$2:$W$500,W463,$D$2:$D$500,"invoice",$A$2:$A$500,"line"),"")</f>
        <v/>
      </c>
      <c r="Z463" s="2">
        <f>IF(AND(A463="line",D463="quote"),COUNTIFS($W$2:$W$500,W463,$D$2:$D$500,"invoice",$A$2:$A$500,"line"),"")</f>
        <v/>
      </c>
      <c r="AA463" s="2">
        <f>IF(AND(A463="line",D463="invoice"),COUNTIFS($W$2:$W$500,W463,$D$2:$D$500,"quote",$A$2:$A$500,"line"),"")</f>
        <v/>
      </c>
      <c r="AB463" s="2">
        <f>IF(A463&lt;&gt;"line","",IF(D463="quote",IF(Z463=0,"quote only",IF(ABS(Y463-N463)&gt;Settings!$B$2,"amount differs","match")),IF(AA463=0,"invoice only","match")))</f>
        <v/>
      </c>
      <c r="AC463" s="2">
        <f>IF(AND(A463="line",AB463&lt;&gt;"match",COUNTIFS($A$2:$A$500,"coverage",$B$2:$B$500,B463,$C$2:$C$500,C463,$D$2:$D$500,"invoice")&gt;0),MAX($AC$1:AC462)+1,"")</f>
        <v/>
      </c>
      <c r="AD463" s="2">
        <f>IF(A463&lt;&gt;"line","",IF(O463="UNMAPPED","no mapping rule",IF(P463="L","low confidence","")))</f>
        <v/>
      </c>
      <c r="AE463" s="2">
        <f>IF(AD463&lt;&gt;"",MAX($AE$1:AE462)+1,"")</f>
        <v/>
      </c>
      <c r="AF463" s="2">
        <f>IF(A463="coverage",MAX($AF$1:AF462)+1,"")</f>
        <v/>
      </c>
      <c r="AG463" s="2">
        <f>IF(A463="line",IF(COUNTIFS($B$1:B462,B463,$C$1:C462,C463,$A$1:A462,"line")=0,MAX($AG$1:AG462)+1,""),"")</f>
        <v/>
      </c>
    </row>
    <row r="464">
      <c r="W464" s="2">
        <f>IF(A464="line",IF(D464="quote",E464,G464)&amp;"|"&amp;LOWER(TRIM(K464)),"")</f>
        <v/>
      </c>
      <c r="X464" s="2">
        <f>IF(OR(O464="LABOUR",O464="INSTALL"),"LABOUR_ALL",IF(O464="","",O464))</f>
        <v/>
      </c>
      <c r="Y464" s="9">
        <f>IF(AND(A464="line",D464="quote"),SUMIFS($N$2:$N$500,$W$2:$W$500,W464,$D$2:$D$500,"invoice",$A$2:$A$500,"line"),"")</f>
        <v/>
      </c>
      <c r="Z464" s="2">
        <f>IF(AND(A464="line",D464="quote"),COUNTIFS($W$2:$W$500,W464,$D$2:$D$500,"invoice",$A$2:$A$500,"line"),"")</f>
        <v/>
      </c>
      <c r="AA464" s="2">
        <f>IF(AND(A464="line",D464="invoice"),COUNTIFS($W$2:$W$500,W464,$D$2:$D$500,"quote",$A$2:$A$500,"line"),"")</f>
        <v/>
      </c>
      <c r="AB464" s="2">
        <f>IF(A464&lt;&gt;"line","",IF(D464="quote",IF(Z464=0,"quote only",IF(ABS(Y464-N464)&gt;Settings!$B$2,"amount differs","match")),IF(AA464=0,"invoice only","match")))</f>
        <v/>
      </c>
      <c r="AC464" s="2">
        <f>IF(AND(A464="line",AB464&lt;&gt;"match",COUNTIFS($A$2:$A$500,"coverage",$B$2:$B$500,B464,$C$2:$C$500,C464,$D$2:$D$500,"invoice")&gt;0),MAX($AC$1:AC463)+1,"")</f>
        <v/>
      </c>
      <c r="AD464" s="2">
        <f>IF(A464&lt;&gt;"line","",IF(O464="UNMAPPED","no mapping rule",IF(P464="L","low confidence","")))</f>
        <v/>
      </c>
      <c r="AE464" s="2">
        <f>IF(AD464&lt;&gt;"",MAX($AE$1:AE463)+1,"")</f>
        <v/>
      </c>
      <c r="AF464" s="2">
        <f>IF(A464="coverage",MAX($AF$1:AF463)+1,"")</f>
        <v/>
      </c>
      <c r="AG464" s="2">
        <f>IF(A464="line",IF(COUNTIFS($B$1:B463,B464,$C$1:C463,C464,$A$1:A463,"line")=0,MAX($AG$1:AG463)+1,""),"")</f>
        <v/>
      </c>
    </row>
    <row r="465">
      <c r="W465" s="2">
        <f>IF(A465="line",IF(D465="quote",E465,G465)&amp;"|"&amp;LOWER(TRIM(K465)),"")</f>
        <v/>
      </c>
      <c r="X465" s="2">
        <f>IF(OR(O465="LABOUR",O465="INSTALL"),"LABOUR_ALL",IF(O465="","",O465))</f>
        <v/>
      </c>
      <c r="Y465" s="9">
        <f>IF(AND(A465="line",D465="quote"),SUMIFS($N$2:$N$500,$W$2:$W$500,W465,$D$2:$D$500,"invoice",$A$2:$A$500,"line"),"")</f>
        <v/>
      </c>
      <c r="Z465" s="2">
        <f>IF(AND(A465="line",D465="quote"),COUNTIFS($W$2:$W$500,W465,$D$2:$D$500,"invoice",$A$2:$A$500,"line"),"")</f>
        <v/>
      </c>
      <c r="AA465" s="2">
        <f>IF(AND(A465="line",D465="invoice"),COUNTIFS($W$2:$W$500,W465,$D$2:$D$500,"quote",$A$2:$A$500,"line"),"")</f>
        <v/>
      </c>
      <c r="AB465" s="2">
        <f>IF(A465&lt;&gt;"line","",IF(D465="quote",IF(Z465=0,"quote only",IF(ABS(Y465-N465)&gt;Settings!$B$2,"amount differs","match")),IF(AA465=0,"invoice only","match")))</f>
        <v/>
      </c>
      <c r="AC465" s="2">
        <f>IF(AND(A465="line",AB465&lt;&gt;"match",COUNTIFS($A$2:$A$500,"coverage",$B$2:$B$500,B465,$C$2:$C$500,C465,$D$2:$D$500,"invoice")&gt;0),MAX($AC$1:AC464)+1,"")</f>
        <v/>
      </c>
      <c r="AD465" s="2">
        <f>IF(A465&lt;&gt;"line","",IF(O465="UNMAPPED","no mapping rule",IF(P465="L","low confidence","")))</f>
        <v/>
      </c>
      <c r="AE465" s="2">
        <f>IF(AD465&lt;&gt;"",MAX($AE$1:AE464)+1,"")</f>
        <v/>
      </c>
      <c r="AF465" s="2">
        <f>IF(A465="coverage",MAX($AF$1:AF464)+1,"")</f>
        <v/>
      </c>
      <c r="AG465" s="2">
        <f>IF(A465="line",IF(COUNTIFS($B$1:B464,B465,$C$1:C464,C465,$A$1:A464,"line")=0,MAX($AG$1:AG464)+1,""),"")</f>
        <v/>
      </c>
    </row>
    <row r="466">
      <c r="W466" s="2">
        <f>IF(A466="line",IF(D466="quote",E466,G466)&amp;"|"&amp;LOWER(TRIM(K466)),"")</f>
        <v/>
      </c>
      <c r="X466" s="2">
        <f>IF(OR(O466="LABOUR",O466="INSTALL"),"LABOUR_ALL",IF(O466="","",O466))</f>
        <v/>
      </c>
      <c r="Y466" s="9">
        <f>IF(AND(A466="line",D466="quote"),SUMIFS($N$2:$N$500,$W$2:$W$500,W466,$D$2:$D$500,"invoice",$A$2:$A$500,"line"),"")</f>
        <v/>
      </c>
      <c r="Z466" s="2">
        <f>IF(AND(A466="line",D466="quote"),COUNTIFS($W$2:$W$500,W466,$D$2:$D$500,"invoice",$A$2:$A$500,"line"),"")</f>
        <v/>
      </c>
      <c r="AA466" s="2">
        <f>IF(AND(A466="line",D466="invoice"),COUNTIFS($W$2:$W$500,W466,$D$2:$D$500,"quote",$A$2:$A$500,"line"),"")</f>
        <v/>
      </c>
      <c r="AB466" s="2">
        <f>IF(A466&lt;&gt;"line","",IF(D466="quote",IF(Z466=0,"quote only",IF(ABS(Y466-N466)&gt;Settings!$B$2,"amount differs","match")),IF(AA466=0,"invoice only","match")))</f>
        <v/>
      </c>
      <c r="AC466" s="2">
        <f>IF(AND(A466="line",AB466&lt;&gt;"match",COUNTIFS($A$2:$A$500,"coverage",$B$2:$B$500,B466,$C$2:$C$500,C466,$D$2:$D$500,"invoice")&gt;0),MAX($AC$1:AC465)+1,"")</f>
        <v/>
      </c>
      <c r="AD466" s="2">
        <f>IF(A466&lt;&gt;"line","",IF(O466="UNMAPPED","no mapping rule",IF(P466="L","low confidence","")))</f>
        <v/>
      </c>
      <c r="AE466" s="2">
        <f>IF(AD466&lt;&gt;"",MAX($AE$1:AE465)+1,"")</f>
        <v/>
      </c>
      <c r="AF466" s="2">
        <f>IF(A466="coverage",MAX($AF$1:AF465)+1,"")</f>
        <v/>
      </c>
      <c r="AG466" s="2">
        <f>IF(A466="line",IF(COUNTIFS($B$1:B465,B466,$C$1:C465,C466,$A$1:A465,"line")=0,MAX($AG$1:AG465)+1,""),"")</f>
        <v/>
      </c>
    </row>
    <row r="467">
      <c r="W467" s="2">
        <f>IF(A467="line",IF(D467="quote",E467,G467)&amp;"|"&amp;LOWER(TRIM(K467)),"")</f>
        <v/>
      </c>
      <c r="X467" s="2">
        <f>IF(OR(O467="LABOUR",O467="INSTALL"),"LABOUR_ALL",IF(O467="","",O467))</f>
        <v/>
      </c>
      <c r="Y467" s="9">
        <f>IF(AND(A467="line",D467="quote"),SUMIFS($N$2:$N$500,$W$2:$W$500,W467,$D$2:$D$500,"invoice",$A$2:$A$500,"line"),"")</f>
        <v/>
      </c>
      <c r="Z467" s="2">
        <f>IF(AND(A467="line",D467="quote"),COUNTIFS($W$2:$W$500,W467,$D$2:$D$500,"invoice",$A$2:$A$500,"line"),"")</f>
        <v/>
      </c>
      <c r="AA467" s="2">
        <f>IF(AND(A467="line",D467="invoice"),COUNTIFS($W$2:$W$500,W467,$D$2:$D$500,"quote",$A$2:$A$500,"line"),"")</f>
        <v/>
      </c>
      <c r="AB467" s="2">
        <f>IF(A467&lt;&gt;"line","",IF(D467="quote",IF(Z467=0,"quote only",IF(ABS(Y467-N467)&gt;Settings!$B$2,"amount differs","match")),IF(AA467=0,"invoice only","match")))</f>
        <v/>
      </c>
      <c r="AC467" s="2">
        <f>IF(AND(A467="line",AB467&lt;&gt;"match",COUNTIFS($A$2:$A$500,"coverage",$B$2:$B$500,B467,$C$2:$C$500,C467,$D$2:$D$500,"invoice")&gt;0),MAX($AC$1:AC466)+1,"")</f>
        <v/>
      </c>
      <c r="AD467" s="2">
        <f>IF(A467&lt;&gt;"line","",IF(O467="UNMAPPED","no mapping rule",IF(P467="L","low confidence","")))</f>
        <v/>
      </c>
      <c r="AE467" s="2">
        <f>IF(AD467&lt;&gt;"",MAX($AE$1:AE466)+1,"")</f>
        <v/>
      </c>
      <c r="AF467" s="2">
        <f>IF(A467="coverage",MAX($AF$1:AF466)+1,"")</f>
        <v/>
      </c>
      <c r="AG467" s="2">
        <f>IF(A467="line",IF(COUNTIFS($B$1:B466,B467,$C$1:C466,C467,$A$1:A466,"line")=0,MAX($AG$1:AG466)+1,""),"")</f>
        <v/>
      </c>
    </row>
    <row r="468">
      <c r="W468" s="2">
        <f>IF(A468="line",IF(D468="quote",E468,G468)&amp;"|"&amp;LOWER(TRIM(K468)),"")</f>
        <v/>
      </c>
      <c r="X468" s="2">
        <f>IF(OR(O468="LABOUR",O468="INSTALL"),"LABOUR_ALL",IF(O468="","",O468))</f>
        <v/>
      </c>
      <c r="Y468" s="9">
        <f>IF(AND(A468="line",D468="quote"),SUMIFS($N$2:$N$500,$W$2:$W$500,W468,$D$2:$D$500,"invoice",$A$2:$A$500,"line"),"")</f>
        <v/>
      </c>
      <c r="Z468" s="2">
        <f>IF(AND(A468="line",D468="quote"),COUNTIFS($W$2:$W$500,W468,$D$2:$D$500,"invoice",$A$2:$A$500,"line"),"")</f>
        <v/>
      </c>
      <c r="AA468" s="2">
        <f>IF(AND(A468="line",D468="invoice"),COUNTIFS($W$2:$W$500,W468,$D$2:$D$500,"quote",$A$2:$A$500,"line"),"")</f>
        <v/>
      </c>
      <c r="AB468" s="2">
        <f>IF(A468&lt;&gt;"line","",IF(D468="quote",IF(Z468=0,"quote only",IF(ABS(Y468-N468)&gt;Settings!$B$2,"amount differs","match")),IF(AA468=0,"invoice only","match")))</f>
        <v/>
      </c>
      <c r="AC468" s="2">
        <f>IF(AND(A468="line",AB468&lt;&gt;"match",COUNTIFS($A$2:$A$500,"coverage",$B$2:$B$500,B468,$C$2:$C$500,C468,$D$2:$D$500,"invoice")&gt;0),MAX($AC$1:AC467)+1,"")</f>
        <v/>
      </c>
      <c r="AD468" s="2">
        <f>IF(A468&lt;&gt;"line","",IF(O468="UNMAPPED","no mapping rule",IF(P468="L","low confidence","")))</f>
        <v/>
      </c>
      <c r="AE468" s="2">
        <f>IF(AD468&lt;&gt;"",MAX($AE$1:AE467)+1,"")</f>
        <v/>
      </c>
      <c r="AF468" s="2">
        <f>IF(A468="coverage",MAX($AF$1:AF467)+1,"")</f>
        <v/>
      </c>
      <c r="AG468" s="2">
        <f>IF(A468="line",IF(COUNTIFS($B$1:B467,B468,$C$1:C467,C468,$A$1:A467,"line")=0,MAX($AG$1:AG467)+1,""),"")</f>
        <v/>
      </c>
    </row>
    <row r="469">
      <c r="W469" s="2">
        <f>IF(A469="line",IF(D469="quote",E469,G469)&amp;"|"&amp;LOWER(TRIM(K469)),"")</f>
        <v/>
      </c>
      <c r="X469" s="2">
        <f>IF(OR(O469="LABOUR",O469="INSTALL"),"LABOUR_ALL",IF(O469="","",O469))</f>
        <v/>
      </c>
      <c r="Y469" s="9">
        <f>IF(AND(A469="line",D469="quote"),SUMIFS($N$2:$N$500,$W$2:$W$500,W469,$D$2:$D$500,"invoice",$A$2:$A$500,"line"),"")</f>
        <v/>
      </c>
      <c r="Z469" s="2">
        <f>IF(AND(A469="line",D469="quote"),COUNTIFS($W$2:$W$500,W469,$D$2:$D$500,"invoice",$A$2:$A$500,"line"),"")</f>
        <v/>
      </c>
      <c r="AA469" s="2">
        <f>IF(AND(A469="line",D469="invoice"),COUNTIFS($W$2:$W$500,W469,$D$2:$D$500,"quote",$A$2:$A$500,"line"),"")</f>
        <v/>
      </c>
      <c r="AB469" s="2">
        <f>IF(A469&lt;&gt;"line","",IF(D469="quote",IF(Z469=0,"quote only",IF(ABS(Y469-N469)&gt;Settings!$B$2,"amount differs","match")),IF(AA469=0,"invoice only","match")))</f>
        <v/>
      </c>
      <c r="AC469" s="2">
        <f>IF(AND(A469="line",AB469&lt;&gt;"match",COUNTIFS($A$2:$A$500,"coverage",$B$2:$B$500,B469,$C$2:$C$500,C469,$D$2:$D$500,"invoice")&gt;0),MAX($AC$1:AC468)+1,"")</f>
        <v/>
      </c>
      <c r="AD469" s="2">
        <f>IF(A469&lt;&gt;"line","",IF(O469="UNMAPPED","no mapping rule",IF(P469="L","low confidence","")))</f>
        <v/>
      </c>
      <c r="AE469" s="2">
        <f>IF(AD469&lt;&gt;"",MAX($AE$1:AE468)+1,"")</f>
        <v/>
      </c>
      <c r="AF469" s="2">
        <f>IF(A469="coverage",MAX($AF$1:AF468)+1,"")</f>
        <v/>
      </c>
      <c r="AG469" s="2">
        <f>IF(A469="line",IF(COUNTIFS($B$1:B468,B469,$C$1:C468,C469,$A$1:A468,"line")=0,MAX($AG$1:AG468)+1,""),"")</f>
        <v/>
      </c>
    </row>
    <row r="470">
      <c r="W470" s="2">
        <f>IF(A470="line",IF(D470="quote",E470,G470)&amp;"|"&amp;LOWER(TRIM(K470)),"")</f>
        <v/>
      </c>
      <c r="X470" s="2">
        <f>IF(OR(O470="LABOUR",O470="INSTALL"),"LABOUR_ALL",IF(O470="","",O470))</f>
        <v/>
      </c>
      <c r="Y470" s="9">
        <f>IF(AND(A470="line",D470="quote"),SUMIFS($N$2:$N$500,$W$2:$W$500,W470,$D$2:$D$500,"invoice",$A$2:$A$500,"line"),"")</f>
        <v/>
      </c>
      <c r="Z470" s="2">
        <f>IF(AND(A470="line",D470="quote"),COUNTIFS($W$2:$W$500,W470,$D$2:$D$500,"invoice",$A$2:$A$500,"line"),"")</f>
        <v/>
      </c>
      <c r="AA470" s="2">
        <f>IF(AND(A470="line",D470="invoice"),COUNTIFS($W$2:$W$500,W470,$D$2:$D$500,"quote",$A$2:$A$500,"line"),"")</f>
        <v/>
      </c>
      <c r="AB470" s="2">
        <f>IF(A470&lt;&gt;"line","",IF(D470="quote",IF(Z470=0,"quote only",IF(ABS(Y470-N470)&gt;Settings!$B$2,"amount differs","match")),IF(AA470=0,"invoice only","match")))</f>
        <v/>
      </c>
      <c r="AC470" s="2">
        <f>IF(AND(A470="line",AB470&lt;&gt;"match",COUNTIFS($A$2:$A$500,"coverage",$B$2:$B$500,B470,$C$2:$C$500,C470,$D$2:$D$500,"invoice")&gt;0),MAX($AC$1:AC469)+1,"")</f>
        <v/>
      </c>
      <c r="AD470" s="2">
        <f>IF(A470&lt;&gt;"line","",IF(O470="UNMAPPED","no mapping rule",IF(P470="L","low confidence","")))</f>
        <v/>
      </c>
      <c r="AE470" s="2">
        <f>IF(AD470&lt;&gt;"",MAX($AE$1:AE469)+1,"")</f>
        <v/>
      </c>
      <c r="AF470" s="2">
        <f>IF(A470="coverage",MAX($AF$1:AF469)+1,"")</f>
        <v/>
      </c>
      <c r="AG470" s="2">
        <f>IF(A470="line",IF(COUNTIFS($B$1:B469,B470,$C$1:C469,C470,$A$1:A469,"line")=0,MAX($AG$1:AG469)+1,""),"")</f>
        <v/>
      </c>
    </row>
    <row r="471">
      <c r="W471" s="2">
        <f>IF(A471="line",IF(D471="quote",E471,G471)&amp;"|"&amp;LOWER(TRIM(K471)),"")</f>
        <v/>
      </c>
      <c r="X471" s="2">
        <f>IF(OR(O471="LABOUR",O471="INSTALL"),"LABOUR_ALL",IF(O471="","",O471))</f>
        <v/>
      </c>
      <c r="Y471" s="9">
        <f>IF(AND(A471="line",D471="quote"),SUMIFS($N$2:$N$500,$W$2:$W$500,W471,$D$2:$D$500,"invoice",$A$2:$A$500,"line"),"")</f>
        <v/>
      </c>
      <c r="Z471" s="2">
        <f>IF(AND(A471="line",D471="quote"),COUNTIFS($W$2:$W$500,W471,$D$2:$D$500,"invoice",$A$2:$A$500,"line"),"")</f>
        <v/>
      </c>
      <c r="AA471" s="2">
        <f>IF(AND(A471="line",D471="invoice"),COUNTIFS($W$2:$W$500,W471,$D$2:$D$500,"quote",$A$2:$A$500,"line"),"")</f>
        <v/>
      </c>
      <c r="AB471" s="2">
        <f>IF(A471&lt;&gt;"line","",IF(D471="quote",IF(Z471=0,"quote only",IF(ABS(Y471-N471)&gt;Settings!$B$2,"amount differs","match")),IF(AA471=0,"invoice only","match")))</f>
        <v/>
      </c>
      <c r="AC471" s="2">
        <f>IF(AND(A471="line",AB471&lt;&gt;"match",COUNTIFS($A$2:$A$500,"coverage",$B$2:$B$500,B471,$C$2:$C$500,C471,$D$2:$D$500,"invoice")&gt;0),MAX($AC$1:AC470)+1,"")</f>
        <v/>
      </c>
      <c r="AD471" s="2">
        <f>IF(A471&lt;&gt;"line","",IF(O471="UNMAPPED","no mapping rule",IF(P471="L","low confidence","")))</f>
        <v/>
      </c>
      <c r="AE471" s="2">
        <f>IF(AD471&lt;&gt;"",MAX($AE$1:AE470)+1,"")</f>
        <v/>
      </c>
      <c r="AF471" s="2">
        <f>IF(A471="coverage",MAX($AF$1:AF470)+1,"")</f>
        <v/>
      </c>
      <c r="AG471" s="2">
        <f>IF(A471="line",IF(COUNTIFS($B$1:B470,B471,$C$1:C470,C471,$A$1:A470,"line")=0,MAX($AG$1:AG470)+1,""),"")</f>
        <v/>
      </c>
    </row>
    <row r="472">
      <c r="W472" s="2">
        <f>IF(A472="line",IF(D472="quote",E472,G472)&amp;"|"&amp;LOWER(TRIM(K472)),"")</f>
        <v/>
      </c>
      <c r="X472" s="2">
        <f>IF(OR(O472="LABOUR",O472="INSTALL"),"LABOUR_ALL",IF(O472="","",O472))</f>
        <v/>
      </c>
      <c r="Y472" s="9">
        <f>IF(AND(A472="line",D472="quote"),SUMIFS($N$2:$N$500,$W$2:$W$500,W472,$D$2:$D$500,"invoice",$A$2:$A$500,"line"),"")</f>
        <v/>
      </c>
      <c r="Z472" s="2">
        <f>IF(AND(A472="line",D472="quote"),COUNTIFS($W$2:$W$500,W472,$D$2:$D$500,"invoice",$A$2:$A$500,"line"),"")</f>
        <v/>
      </c>
      <c r="AA472" s="2">
        <f>IF(AND(A472="line",D472="invoice"),COUNTIFS($W$2:$W$500,W472,$D$2:$D$500,"quote",$A$2:$A$500,"line"),"")</f>
        <v/>
      </c>
      <c r="AB472" s="2">
        <f>IF(A472&lt;&gt;"line","",IF(D472="quote",IF(Z472=0,"quote only",IF(ABS(Y472-N472)&gt;Settings!$B$2,"amount differs","match")),IF(AA472=0,"invoice only","match")))</f>
        <v/>
      </c>
      <c r="AC472" s="2">
        <f>IF(AND(A472="line",AB472&lt;&gt;"match",COUNTIFS($A$2:$A$500,"coverage",$B$2:$B$500,B472,$C$2:$C$500,C472,$D$2:$D$500,"invoice")&gt;0),MAX($AC$1:AC471)+1,"")</f>
        <v/>
      </c>
      <c r="AD472" s="2">
        <f>IF(A472&lt;&gt;"line","",IF(O472="UNMAPPED","no mapping rule",IF(P472="L","low confidence","")))</f>
        <v/>
      </c>
      <c r="AE472" s="2">
        <f>IF(AD472&lt;&gt;"",MAX($AE$1:AE471)+1,"")</f>
        <v/>
      </c>
      <c r="AF472" s="2">
        <f>IF(A472="coverage",MAX($AF$1:AF471)+1,"")</f>
        <v/>
      </c>
      <c r="AG472" s="2">
        <f>IF(A472="line",IF(COUNTIFS($B$1:B471,B472,$C$1:C471,C472,$A$1:A471,"line")=0,MAX($AG$1:AG471)+1,""),"")</f>
        <v/>
      </c>
    </row>
    <row r="473">
      <c r="W473" s="2">
        <f>IF(A473="line",IF(D473="quote",E473,G473)&amp;"|"&amp;LOWER(TRIM(K473)),"")</f>
        <v/>
      </c>
      <c r="X473" s="2">
        <f>IF(OR(O473="LABOUR",O473="INSTALL"),"LABOUR_ALL",IF(O473="","",O473))</f>
        <v/>
      </c>
      <c r="Y473" s="9">
        <f>IF(AND(A473="line",D473="quote"),SUMIFS($N$2:$N$500,$W$2:$W$500,W473,$D$2:$D$500,"invoice",$A$2:$A$500,"line"),"")</f>
        <v/>
      </c>
      <c r="Z473" s="2">
        <f>IF(AND(A473="line",D473="quote"),COUNTIFS($W$2:$W$500,W473,$D$2:$D$500,"invoice",$A$2:$A$500,"line"),"")</f>
        <v/>
      </c>
      <c r="AA473" s="2">
        <f>IF(AND(A473="line",D473="invoice"),COUNTIFS($W$2:$W$500,W473,$D$2:$D$500,"quote",$A$2:$A$500,"line"),"")</f>
        <v/>
      </c>
      <c r="AB473" s="2">
        <f>IF(A473&lt;&gt;"line","",IF(D473="quote",IF(Z473=0,"quote only",IF(ABS(Y473-N473)&gt;Settings!$B$2,"amount differs","match")),IF(AA473=0,"invoice only","match")))</f>
        <v/>
      </c>
      <c r="AC473" s="2">
        <f>IF(AND(A473="line",AB473&lt;&gt;"match",COUNTIFS($A$2:$A$500,"coverage",$B$2:$B$500,B473,$C$2:$C$500,C473,$D$2:$D$500,"invoice")&gt;0),MAX($AC$1:AC472)+1,"")</f>
        <v/>
      </c>
      <c r="AD473" s="2">
        <f>IF(A473&lt;&gt;"line","",IF(O473="UNMAPPED","no mapping rule",IF(P473="L","low confidence","")))</f>
        <v/>
      </c>
      <c r="AE473" s="2">
        <f>IF(AD473&lt;&gt;"",MAX($AE$1:AE472)+1,"")</f>
        <v/>
      </c>
      <c r="AF473" s="2">
        <f>IF(A473="coverage",MAX($AF$1:AF472)+1,"")</f>
        <v/>
      </c>
      <c r="AG473" s="2">
        <f>IF(A473="line",IF(COUNTIFS($B$1:B472,B473,$C$1:C472,C473,$A$1:A472,"line")=0,MAX($AG$1:AG472)+1,""),"")</f>
        <v/>
      </c>
    </row>
    <row r="474">
      <c r="W474" s="2">
        <f>IF(A474="line",IF(D474="quote",E474,G474)&amp;"|"&amp;LOWER(TRIM(K474)),"")</f>
        <v/>
      </c>
      <c r="X474" s="2">
        <f>IF(OR(O474="LABOUR",O474="INSTALL"),"LABOUR_ALL",IF(O474="","",O474))</f>
        <v/>
      </c>
      <c r="Y474" s="9">
        <f>IF(AND(A474="line",D474="quote"),SUMIFS($N$2:$N$500,$W$2:$W$500,W474,$D$2:$D$500,"invoice",$A$2:$A$500,"line"),"")</f>
        <v/>
      </c>
      <c r="Z474" s="2">
        <f>IF(AND(A474="line",D474="quote"),COUNTIFS($W$2:$W$500,W474,$D$2:$D$500,"invoice",$A$2:$A$500,"line"),"")</f>
        <v/>
      </c>
      <c r="AA474" s="2">
        <f>IF(AND(A474="line",D474="invoice"),COUNTIFS($W$2:$W$500,W474,$D$2:$D$500,"quote",$A$2:$A$500,"line"),"")</f>
        <v/>
      </c>
      <c r="AB474" s="2">
        <f>IF(A474&lt;&gt;"line","",IF(D474="quote",IF(Z474=0,"quote only",IF(ABS(Y474-N474)&gt;Settings!$B$2,"amount differs","match")),IF(AA474=0,"invoice only","match")))</f>
        <v/>
      </c>
      <c r="AC474" s="2">
        <f>IF(AND(A474="line",AB474&lt;&gt;"match",COUNTIFS($A$2:$A$500,"coverage",$B$2:$B$500,B474,$C$2:$C$500,C474,$D$2:$D$500,"invoice")&gt;0),MAX($AC$1:AC473)+1,"")</f>
        <v/>
      </c>
      <c r="AD474" s="2">
        <f>IF(A474&lt;&gt;"line","",IF(O474="UNMAPPED","no mapping rule",IF(P474="L","low confidence","")))</f>
        <v/>
      </c>
      <c r="AE474" s="2">
        <f>IF(AD474&lt;&gt;"",MAX($AE$1:AE473)+1,"")</f>
        <v/>
      </c>
      <c r="AF474" s="2">
        <f>IF(A474="coverage",MAX($AF$1:AF473)+1,"")</f>
        <v/>
      </c>
      <c r="AG474" s="2">
        <f>IF(A474="line",IF(COUNTIFS($B$1:B473,B474,$C$1:C473,C474,$A$1:A473,"line")=0,MAX($AG$1:AG473)+1,""),"")</f>
        <v/>
      </c>
    </row>
    <row r="475">
      <c r="W475" s="2">
        <f>IF(A475="line",IF(D475="quote",E475,G475)&amp;"|"&amp;LOWER(TRIM(K475)),"")</f>
        <v/>
      </c>
      <c r="X475" s="2">
        <f>IF(OR(O475="LABOUR",O475="INSTALL"),"LABOUR_ALL",IF(O475="","",O475))</f>
        <v/>
      </c>
      <c r="Y475" s="9">
        <f>IF(AND(A475="line",D475="quote"),SUMIFS($N$2:$N$500,$W$2:$W$500,W475,$D$2:$D$500,"invoice",$A$2:$A$500,"line"),"")</f>
        <v/>
      </c>
      <c r="Z475" s="2">
        <f>IF(AND(A475="line",D475="quote"),COUNTIFS($W$2:$W$500,W475,$D$2:$D$500,"invoice",$A$2:$A$500,"line"),"")</f>
        <v/>
      </c>
      <c r="AA475" s="2">
        <f>IF(AND(A475="line",D475="invoice"),COUNTIFS($W$2:$W$500,W475,$D$2:$D$500,"quote",$A$2:$A$500,"line"),"")</f>
        <v/>
      </c>
      <c r="AB475" s="2">
        <f>IF(A475&lt;&gt;"line","",IF(D475="quote",IF(Z475=0,"quote only",IF(ABS(Y475-N475)&gt;Settings!$B$2,"amount differs","match")),IF(AA475=0,"invoice only","match")))</f>
        <v/>
      </c>
      <c r="AC475" s="2">
        <f>IF(AND(A475="line",AB475&lt;&gt;"match",COUNTIFS($A$2:$A$500,"coverage",$B$2:$B$500,B475,$C$2:$C$500,C475,$D$2:$D$500,"invoice")&gt;0),MAX($AC$1:AC474)+1,"")</f>
        <v/>
      </c>
      <c r="AD475" s="2">
        <f>IF(A475&lt;&gt;"line","",IF(O475="UNMAPPED","no mapping rule",IF(P475="L","low confidence","")))</f>
        <v/>
      </c>
      <c r="AE475" s="2">
        <f>IF(AD475&lt;&gt;"",MAX($AE$1:AE474)+1,"")</f>
        <v/>
      </c>
      <c r="AF475" s="2">
        <f>IF(A475="coverage",MAX($AF$1:AF474)+1,"")</f>
        <v/>
      </c>
      <c r="AG475" s="2">
        <f>IF(A475="line",IF(COUNTIFS($B$1:B474,B475,$C$1:C474,C475,$A$1:A474,"line")=0,MAX($AG$1:AG474)+1,""),"")</f>
        <v/>
      </c>
    </row>
    <row r="476">
      <c r="W476" s="2">
        <f>IF(A476="line",IF(D476="quote",E476,G476)&amp;"|"&amp;LOWER(TRIM(K476)),"")</f>
        <v/>
      </c>
      <c r="X476" s="2">
        <f>IF(OR(O476="LABOUR",O476="INSTALL"),"LABOUR_ALL",IF(O476="","",O476))</f>
        <v/>
      </c>
      <c r="Y476" s="9">
        <f>IF(AND(A476="line",D476="quote"),SUMIFS($N$2:$N$500,$W$2:$W$500,W476,$D$2:$D$500,"invoice",$A$2:$A$500,"line"),"")</f>
        <v/>
      </c>
      <c r="Z476" s="2">
        <f>IF(AND(A476="line",D476="quote"),COUNTIFS($W$2:$W$500,W476,$D$2:$D$500,"invoice",$A$2:$A$500,"line"),"")</f>
        <v/>
      </c>
      <c r="AA476" s="2">
        <f>IF(AND(A476="line",D476="invoice"),COUNTIFS($W$2:$W$500,W476,$D$2:$D$500,"quote",$A$2:$A$500,"line"),"")</f>
        <v/>
      </c>
      <c r="AB476" s="2">
        <f>IF(A476&lt;&gt;"line","",IF(D476="quote",IF(Z476=0,"quote only",IF(ABS(Y476-N476)&gt;Settings!$B$2,"amount differs","match")),IF(AA476=0,"invoice only","match")))</f>
        <v/>
      </c>
      <c r="AC476" s="2">
        <f>IF(AND(A476="line",AB476&lt;&gt;"match",COUNTIFS($A$2:$A$500,"coverage",$B$2:$B$500,B476,$C$2:$C$500,C476,$D$2:$D$500,"invoice")&gt;0),MAX($AC$1:AC475)+1,"")</f>
        <v/>
      </c>
      <c r="AD476" s="2">
        <f>IF(A476&lt;&gt;"line","",IF(O476="UNMAPPED","no mapping rule",IF(P476="L","low confidence","")))</f>
        <v/>
      </c>
      <c r="AE476" s="2">
        <f>IF(AD476&lt;&gt;"",MAX($AE$1:AE475)+1,"")</f>
        <v/>
      </c>
      <c r="AF476" s="2">
        <f>IF(A476="coverage",MAX($AF$1:AF475)+1,"")</f>
        <v/>
      </c>
      <c r="AG476" s="2">
        <f>IF(A476="line",IF(COUNTIFS($B$1:B475,B476,$C$1:C475,C476,$A$1:A475,"line")=0,MAX($AG$1:AG475)+1,""),"")</f>
        <v/>
      </c>
    </row>
    <row r="477">
      <c r="W477" s="2">
        <f>IF(A477="line",IF(D477="quote",E477,G477)&amp;"|"&amp;LOWER(TRIM(K477)),"")</f>
        <v/>
      </c>
      <c r="X477" s="2">
        <f>IF(OR(O477="LABOUR",O477="INSTALL"),"LABOUR_ALL",IF(O477="","",O477))</f>
        <v/>
      </c>
      <c r="Y477" s="9">
        <f>IF(AND(A477="line",D477="quote"),SUMIFS($N$2:$N$500,$W$2:$W$500,W477,$D$2:$D$500,"invoice",$A$2:$A$500,"line"),"")</f>
        <v/>
      </c>
      <c r="Z477" s="2">
        <f>IF(AND(A477="line",D477="quote"),COUNTIFS($W$2:$W$500,W477,$D$2:$D$500,"invoice",$A$2:$A$500,"line"),"")</f>
        <v/>
      </c>
      <c r="AA477" s="2">
        <f>IF(AND(A477="line",D477="invoice"),COUNTIFS($W$2:$W$500,W477,$D$2:$D$500,"quote",$A$2:$A$500,"line"),"")</f>
        <v/>
      </c>
      <c r="AB477" s="2">
        <f>IF(A477&lt;&gt;"line","",IF(D477="quote",IF(Z477=0,"quote only",IF(ABS(Y477-N477)&gt;Settings!$B$2,"amount differs","match")),IF(AA477=0,"invoice only","match")))</f>
        <v/>
      </c>
      <c r="AC477" s="2">
        <f>IF(AND(A477="line",AB477&lt;&gt;"match",COUNTIFS($A$2:$A$500,"coverage",$B$2:$B$500,B477,$C$2:$C$500,C477,$D$2:$D$500,"invoice")&gt;0),MAX($AC$1:AC476)+1,"")</f>
        <v/>
      </c>
      <c r="AD477" s="2">
        <f>IF(A477&lt;&gt;"line","",IF(O477="UNMAPPED","no mapping rule",IF(P477="L","low confidence","")))</f>
        <v/>
      </c>
      <c r="AE477" s="2">
        <f>IF(AD477&lt;&gt;"",MAX($AE$1:AE476)+1,"")</f>
        <v/>
      </c>
      <c r="AF477" s="2">
        <f>IF(A477="coverage",MAX($AF$1:AF476)+1,"")</f>
        <v/>
      </c>
      <c r="AG477" s="2">
        <f>IF(A477="line",IF(COUNTIFS($B$1:B476,B477,$C$1:C476,C477,$A$1:A476,"line")=0,MAX($AG$1:AG476)+1,""),"")</f>
        <v/>
      </c>
    </row>
    <row r="478">
      <c r="W478" s="2">
        <f>IF(A478="line",IF(D478="quote",E478,G478)&amp;"|"&amp;LOWER(TRIM(K478)),"")</f>
        <v/>
      </c>
      <c r="X478" s="2">
        <f>IF(OR(O478="LABOUR",O478="INSTALL"),"LABOUR_ALL",IF(O478="","",O478))</f>
        <v/>
      </c>
      <c r="Y478" s="9">
        <f>IF(AND(A478="line",D478="quote"),SUMIFS($N$2:$N$500,$W$2:$W$500,W478,$D$2:$D$500,"invoice",$A$2:$A$500,"line"),"")</f>
        <v/>
      </c>
      <c r="Z478" s="2">
        <f>IF(AND(A478="line",D478="quote"),COUNTIFS($W$2:$W$500,W478,$D$2:$D$500,"invoice",$A$2:$A$500,"line"),"")</f>
        <v/>
      </c>
      <c r="AA478" s="2">
        <f>IF(AND(A478="line",D478="invoice"),COUNTIFS($W$2:$W$500,W478,$D$2:$D$500,"quote",$A$2:$A$500,"line"),"")</f>
        <v/>
      </c>
      <c r="AB478" s="2">
        <f>IF(A478&lt;&gt;"line","",IF(D478="quote",IF(Z478=0,"quote only",IF(ABS(Y478-N478)&gt;Settings!$B$2,"amount differs","match")),IF(AA478=0,"invoice only","match")))</f>
        <v/>
      </c>
      <c r="AC478" s="2">
        <f>IF(AND(A478="line",AB478&lt;&gt;"match",COUNTIFS($A$2:$A$500,"coverage",$B$2:$B$500,B478,$C$2:$C$500,C478,$D$2:$D$500,"invoice")&gt;0),MAX($AC$1:AC477)+1,"")</f>
        <v/>
      </c>
      <c r="AD478" s="2">
        <f>IF(A478&lt;&gt;"line","",IF(O478="UNMAPPED","no mapping rule",IF(P478="L","low confidence","")))</f>
        <v/>
      </c>
      <c r="AE478" s="2">
        <f>IF(AD478&lt;&gt;"",MAX($AE$1:AE477)+1,"")</f>
        <v/>
      </c>
      <c r="AF478" s="2">
        <f>IF(A478="coverage",MAX($AF$1:AF477)+1,"")</f>
        <v/>
      </c>
      <c r="AG478" s="2">
        <f>IF(A478="line",IF(COUNTIFS($B$1:B477,B478,$C$1:C477,C478,$A$1:A477,"line")=0,MAX($AG$1:AG477)+1,""),"")</f>
        <v/>
      </c>
    </row>
    <row r="479">
      <c r="W479" s="2">
        <f>IF(A479="line",IF(D479="quote",E479,G479)&amp;"|"&amp;LOWER(TRIM(K479)),"")</f>
        <v/>
      </c>
      <c r="X479" s="2">
        <f>IF(OR(O479="LABOUR",O479="INSTALL"),"LABOUR_ALL",IF(O479="","",O479))</f>
        <v/>
      </c>
      <c r="Y479" s="9">
        <f>IF(AND(A479="line",D479="quote"),SUMIFS($N$2:$N$500,$W$2:$W$500,W479,$D$2:$D$500,"invoice",$A$2:$A$500,"line"),"")</f>
        <v/>
      </c>
      <c r="Z479" s="2">
        <f>IF(AND(A479="line",D479="quote"),COUNTIFS($W$2:$W$500,W479,$D$2:$D$500,"invoice",$A$2:$A$500,"line"),"")</f>
        <v/>
      </c>
      <c r="AA479" s="2">
        <f>IF(AND(A479="line",D479="invoice"),COUNTIFS($W$2:$W$500,W479,$D$2:$D$500,"quote",$A$2:$A$500,"line"),"")</f>
        <v/>
      </c>
      <c r="AB479" s="2">
        <f>IF(A479&lt;&gt;"line","",IF(D479="quote",IF(Z479=0,"quote only",IF(ABS(Y479-N479)&gt;Settings!$B$2,"amount differs","match")),IF(AA479=0,"invoice only","match")))</f>
        <v/>
      </c>
      <c r="AC479" s="2">
        <f>IF(AND(A479="line",AB479&lt;&gt;"match",COUNTIFS($A$2:$A$500,"coverage",$B$2:$B$500,B479,$C$2:$C$500,C479,$D$2:$D$500,"invoice")&gt;0),MAX($AC$1:AC478)+1,"")</f>
        <v/>
      </c>
      <c r="AD479" s="2">
        <f>IF(A479&lt;&gt;"line","",IF(O479="UNMAPPED","no mapping rule",IF(P479="L","low confidence","")))</f>
        <v/>
      </c>
      <c r="AE479" s="2">
        <f>IF(AD479&lt;&gt;"",MAX($AE$1:AE478)+1,"")</f>
        <v/>
      </c>
      <c r="AF479" s="2">
        <f>IF(A479="coverage",MAX($AF$1:AF478)+1,"")</f>
        <v/>
      </c>
      <c r="AG479" s="2">
        <f>IF(A479="line",IF(COUNTIFS($B$1:B478,B479,$C$1:C478,C479,$A$1:A478,"line")=0,MAX($AG$1:AG478)+1,""),"")</f>
        <v/>
      </c>
    </row>
    <row r="480">
      <c r="W480" s="2">
        <f>IF(A480="line",IF(D480="quote",E480,G480)&amp;"|"&amp;LOWER(TRIM(K480)),"")</f>
        <v/>
      </c>
      <c r="X480" s="2">
        <f>IF(OR(O480="LABOUR",O480="INSTALL"),"LABOUR_ALL",IF(O480="","",O480))</f>
        <v/>
      </c>
      <c r="Y480" s="9">
        <f>IF(AND(A480="line",D480="quote"),SUMIFS($N$2:$N$500,$W$2:$W$500,W480,$D$2:$D$500,"invoice",$A$2:$A$500,"line"),"")</f>
        <v/>
      </c>
      <c r="Z480" s="2">
        <f>IF(AND(A480="line",D480="quote"),COUNTIFS($W$2:$W$500,W480,$D$2:$D$500,"invoice",$A$2:$A$500,"line"),"")</f>
        <v/>
      </c>
      <c r="AA480" s="2">
        <f>IF(AND(A480="line",D480="invoice"),COUNTIFS($W$2:$W$500,W480,$D$2:$D$500,"quote",$A$2:$A$500,"line"),"")</f>
        <v/>
      </c>
      <c r="AB480" s="2">
        <f>IF(A480&lt;&gt;"line","",IF(D480="quote",IF(Z480=0,"quote only",IF(ABS(Y480-N480)&gt;Settings!$B$2,"amount differs","match")),IF(AA480=0,"invoice only","match")))</f>
        <v/>
      </c>
      <c r="AC480" s="2">
        <f>IF(AND(A480="line",AB480&lt;&gt;"match",COUNTIFS($A$2:$A$500,"coverage",$B$2:$B$500,B480,$C$2:$C$500,C480,$D$2:$D$500,"invoice")&gt;0),MAX($AC$1:AC479)+1,"")</f>
        <v/>
      </c>
      <c r="AD480" s="2">
        <f>IF(A480&lt;&gt;"line","",IF(O480="UNMAPPED","no mapping rule",IF(P480="L","low confidence","")))</f>
        <v/>
      </c>
      <c r="AE480" s="2">
        <f>IF(AD480&lt;&gt;"",MAX($AE$1:AE479)+1,"")</f>
        <v/>
      </c>
      <c r="AF480" s="2">
        <f>IF(A480="coverage",MAX($AF$1:AF479)+1,"")</f>
        <v/>
      </c>
      <c r="AG480" s="2">
        <f>IF(A480="line",IF(COUNTIFS($B$1:B479,B480,$C$1:C479,C480,$A$1:A479,"line")=0,MAX($AG$1:AG479)+1,""),"")</f>
        <v/>
      </c>
    </row>
    <row r="481">
      <c r="W481" s="2">
        <f>IF(A481="line",IF(D481="quote",E481,G481)&amp;"|"&amp;LOWER(TRIM(K481)),"")</f>
        <v/>
      </c>
      <c r="X481" s="2">
        <f>IF(OR(O481="LABOUR",O481="INSTALL"),"LABOUR_ALL",IF(O481="","",O481))</f>
        <v/>
      </c>
      <c r="Y481" s="9">
        <f>IF(AND(A481="line",D481="quote"),SUMIFS($N$2:$N$500,$W$2:$W$500,W481,$D$2:$D$500,"invoice",$A$2:$A$500,"line"),"")</f>
        <v/>
      </c>
      <c r="Z481" s="2">
        <f>IF(AND(A481="line",D481="quote"),COUNTIFS($W$2:$W$500,W481,$D$2:$D$500,"invoice",$A$2:$A$500,"line"),"")</f>
        <v/>
      </c>
      <c r="AA481" s="2">
        <f>IF(AND(A481="line",D481="invoice"),COUNTIFS($W$2:$W$500,W481,$D$2:$D$500,"quote",$A$2:$A$500,"line"),"")</f>
        <v/>
      </c>
      <c r="AB481" s="2">
        <f>IF(A481&lt;&gt;"line","",IF(D481="quote",IF(Z481=0,"quote only",IF(ABS(Y481-N481)&gt;Settings!$B$2,"amount differs","match")),IF(AA481=0,"invoice only","match")))</f>
        <v/>
      </c>
      <c r="AC481" s="2">
        <f>IF(AND(A481="line",AB481&lt;&gt;"match",COUNTIFS($A$2:$A$500,"coverage",$B$2:$B$500,B481,$C$2:$C$500,C481,$D$2:$D$500,"invoice")&gt;0),MAX($AC$1:AC480)+1,"")</f>
        <v/>
      </c>
      <c r="AD481" s="2">
        <f>IF(A481&lt;&gt;"line","",IF(O481="UNMAPPED","no mapping rule",IF(P481="L","low confidence","")))</f>
        <v/>
      </c>
      <c r="AE481" s="2">
        <f>IF(AD481&lt;&gt;"",MAX($AE$1:AE480)+1,"")</f>
        <v/>
      </c>
      <c r="AF481" s="2">
        <f>IF(A481="coverage",MAX($AF$1:AF480)+1,"")</f>
        <v/>
      </c>
      <c r="AG481" s="2">
        <f>IF(A481="line",IF(COUNTIFS($B$1:B480,B481,$C$1:C480,C481,$A$1:A480,"line")=0,MAX($AG$1:AG480)+1,""),"")</f>
        <v/>
      </c>
    </row>
    <row r="482">
      <c r="W482" s="2">
        <f>IF(A482="line",IF(D482="quote",E482,G482)&amp;"|"&amp;LOWER(TRIM(K482)),"")</f>
        <v/>
      </c>
      <c r="X482" s="2">
        <f>IF(OR(O482="LABOUR",O482="INSTALL"),"LABOUR_ALL",IF(O482="","",O482))</f>
        <v/>
      </c>
      <c r="Y482" s="9">
        <f>IF(AND(A482="line",D482="quote"),SUMIFS($N$2:$N$500,$W$2:$W$500,W482,$D$2:$D$500,"invoice",$A$2:$A$500,"line"),"")</f>
        <v/>
      </c>
      <c r="Z482" s="2">
        <f>IF(AND(A482="line",D482="quote"),COUNTIFS($W$2:$W$500,W482,$D$2:$D$500,"invoice",$A$2:$A$500,"line"),"")</f>
        <v/>
      </c>
      <c r="AA482" s="2">
        <f>IF(AND(A482="line",D482="invoice"),COUNTIFS($W$2:$W$500,W482,$D$2:$D$500,"quote",$A$2:$A$500,"line"),"")</f>
        <v/>
      </c>
      <c r="AB482" s="2">
        <f>IF(A482&lt;&gt;"line","",IF(D482="quote",IF(Z482=0,"quote only",IF(ABS(Y482-N482)&gt;Settings!$B$2,"amount differs","match")),IF(AA482=0,"invoice only","match")))</f>
        <v/>
      </c>
      <c r="AC482" s="2">
        <f>IF(AND(A482="line",AB482&lt;&gt;"match",COUNTIFS($A$2:$A$500,"coverage",$B$2:$B$500,B482,$C$2:$C$500,C482,$D$2:$D$500,"invoice")&gt;0),MAX($AC$1:AC481)+1,"")</f>
        <v/>
      </c>
      <c r="AD482" s="2">
        <f>IF(A482&lt;&gt;"line","",IF(O482="UNMAPPED","no mapping rule",IF(P482="L","low confidence","")))</f>
        <v/>
      </c>
      <c r="AE482" s="2">
        <f>IF(AD482&lt;&gt;"",MAX($AE$1:AE481)+1,"")</f>
        <v/>
      </c>
      <c r="AF482" s="2">
        <f>IF(A482="coverage",MAX($AF$1:AF481)+1,"")</f>
        <v/>
      </c>
      <c r="AG482" s="2">
        <f>IF(A482="line",IF(COUNTIFS($B$1:B481,B482,$C$1:C481,C482,$A$1:A481,"line")=0,MAX($AG$1:AG481)+1,""),"")</f>
        <v/>
      </c>
    </row>
    <row r="483">
      <c r="W483" s="2">
        <f>IF(A483="line",IF(D483="quote",E483,G483)&amp;"|"&amp;LOWER(TRIM(K483)),"")</f>
        <v/>
      </c>
      <c r="X483" s="2">
        <f>IF(OR(O483="LABOUR",O483="INSTALL"),"LABOUR_ALL",IF(O483="","",O483))</f>
        <v/>
      </c>
      <c r="Y483" s="9">
        <f>IF(AND(A483="line",D483="quote"),SUMIFS($N$2:$N$500,$W$2:$W$500,W483,$D$2:$D$500,"invoice",$A$2:$A$500,"line"),"")</f>
        <v/>
      </c>
      <c r="Z483" s="2">
        <f>IF(AND(A483="line",D483="quote"),COUNTIFS($W$2:$W$500,W483,$D$2:$D$500,"invoice",$A$2:$A$500,"line"),"")</f>
        <v/>
      </c>
      <c r="AA483" s="2">
        <f>IF(AND(A483="line",D483="invoice"),COUNTIFS($W$2:$W$500,W483,$D$2:$D$500,"quote",$A$2:$A$500,"line"),"")</f>
        <v/>
      </c>
      <c r="AB483" s="2">
        <f>IF(A483&lt;&gt;"line","",IF(D483="quote",IF(Z483=0,"quote only",IF(ABS(Y483-N483)&gt;Settings!$B$2,"amount differs","match")),IF(AA483=0,"invoice only","match")))</f>
        <v/>
      </c>
      <c r="AC483" s="2">
        <f>IF(AND(A483="line",AB483&lt;&gt;"match",COUNTIFS($A$2:$A$500,"coverage",$B$2:$B$500,B483,$C$2:$C$500,C483,$D$2:$D$500,"invoice")&gt;0),MAX($AC$1:AC482)+1,"")</f>
        <v/>
      </c>
      <c r="AD483" s="2">
        <f>IF(A483&lt;&gt;"line","",IF(O483="UNMAPPED","no mapping rule",IF(P483="L","low confidence","")))</f>
        <v/>
      </c>
      <c r="AE483" s="2">
        <f>IF(AD483&lt;&gt;"",MAX($AE$1:AE482)+1,"")</f>
        <v/>
      </c>
      <c r="AF483" s="2">
        <f>IF(A483="coverage",MAX($AF$1:AF482)+1,"")</f>
        <v/>
      </c>
      <c r="AG483" s="2">
        <f>IF(A483="line",IF(COUNTIFS($B$1:B482,B483,$C$1:C482,C483,$A$1:A482,"line")=0,MAX($AG$1:AG482)+1,""),"")</f>
        <v/>
      </c>
    </row>
    <row r="484">
      <c r="W484" s="2">
        <f>IF(A484="line",IF(D484="quote",E484,G484)&amp;"|"&amp;LOWER(TRIM(K484)),"")</f>
        <v/>
      </c>
      <c r="X484" s="2">
        <f>IF(OR(O484="LABOUR",O484="INSTALL"),"LABOUR_ALL",IF(O484="","",O484))</f>
        <v/>
      </c>
      <c r="Y484" s="9">
        <f>IF(AND(A484="line",D484="quote"),SUMIFS($N$2:$N$500,$W$2:$W$500,W484,$D$2:$D$500,"invoice",$A$2:$A$500,"line"),"")</f>
        <v/>
      </c>
      <c r="Z484" s="2">
        <f>IF(AND(A484="line",D484="quote"),COUNTIFS($W$2:$W$500,W484,$D$2:$D$500,"invoice",$A$2:$A$500,"line"),"")</f>
        <v/>
      </c>
      <c r="AA484" s="2">
        <f>IF(AND(A484="line",D484="invoice"),COUNTIFS($W$2:$W$500,W484,$D$2:$D$500,"quote",$A$2:$A$500,"line"),"")</f>
        <v/>
      </c>
      <c r="AB484" s="2">
        <f>IF(A484&lt;&gt;"line","",IF(D484="quote",IF(Z484=0,"quote only",IF(ABS(Y484-N484)&gt;Settings!$B$2,"amount differs","match")),IF(AA484=0,"invoice only","match")))</f>
        <v/>
      </c>
      <c r="AC484" s="2">
        <f>IF(AND(A484="line",AB484&lt;&gt;"match",COUNTIFS($A$2:$A$500,"coverage",$B$2:$B$500,B484,$C$2:$C$500,C484,$D$2:$D$500,"invoice")&gt;0),MAX($AC$1:AC483)+1,"")</f>
        <v/>
      </c>
      <c r="AD484" s="2">
        <f>IF(A484&lt;&gt;"line","",IF(O484="UNMAPPED","no mapping rule",IF(P484="L","low confidence","")))</f>
        <v/>
      </c>
      <c r="AE484" s="2">
        <f>IF(AD484&lt;&gt;"",MAX($AE$1:AE483)+1,"")</f>
        <v/>
      </c>
      <c r="AF484" s="2">
        <f>IF(A484="coverage",MAX($AF$1:AF483)+1,"")</f>
        <v/>
      </c>
      <c r="AG484" s="2">
        <f>IF(A484="line",IF(COUNTIFS($B$1:B483,B484,$C$1:C483,C484,$A$1:A483,"line")=0,MAX($AG$1:AG483)+1,""),"")</f>
        <v/>
      </c>
    </row>
    <row r="485">
      <c r="W485" s="2">
        <f>IF(A485="line",IF(D485="quote",E485,G485)&amp;"|"&amp;LOWER(TRIM(K485)),"")</f>
        <v/>
      </c>
      <c r="X485" s="2">
        <f>IF(OR(O485="LABOUR",O485="INSTALL"),"LABOUR_ALL",IF(O485="","",O485))</f>
        <v/>
      </c>
      <c r="Y485" s="9">
        <f>IF(AND(A485="line",D485="quote"),SUMIFS($N$2:$N$500,$W$2:$W$500,W485,$D$2:$D$500,"invoice",$A$2:$A$500,"line"),"")</f>
        <v/>
      </c>
      <c r="Z485" s="2">
        <f>IF(AND(A485="line",D485="quote"),COUNTIFS($W$2:$W$500,W485,$D$2:$D$500,"invoice",$A$2:$A$500,"line"),"")</f>
        <v/>
      </c>
      <c r="AA485" s="2">
        <f>IF(AND(A485="line",D485="invoice"),COUNTIFS($W$2:$W$500,W485,$D$2:$D$500,"quote",$A$2:$A$500,"line"),"")</f>
        <v/>
      </c>
      <c r="AB485" s="2">
        <f>IF(A485&lt;&gt;"line","",IF(D485="quote",IF(Z485=0,"quote only",IF(ABS(Y485-N485)&gt;Settings!$B$2,"amount differs","match")),IF(AA485=0,"invoice only","match")))</f>
        <v/>
      </c>
      <c r="AC485" s="2">
        <f>IF(AND(A485="line",AB485&lt;&gt;"match",COUNTIFS($A$2:$A$500,"coverage",$B$2:$B$500,B485,$C$2:$C$500,C485,$D$2:$D$500,"invoice")&gt;0),MAX($AC$1:AC484)+1,"")</f>
        <v/>
      </c>
      <c r="AD485" s="2">
        <f>IF(A485&lt;&gt;"line","",IF(O485="UNMAPPED","no mapping rule",IF(P485="L","low confidence","")))</f>
        <v/>
      </c>
      <c r="AE485" s="2">
        <f>IF(AD485&lt;&gt;"",MAX($AE$1:AE484)+1,"")</f>
        <v/>
      </c>
      <c r="AF485" s="2">
        <f>IF(A485="coverage",MAX($AF$1:AF484)+1,"")</f>
        <v/>
      </c>
      <c r="AG485" s="2">
        <f>IF(A485="line",IF(COUNTIFS($B$1:B484,B485,$C$1:C484,C485,$A$1:A484,"line")=0,MAX($AG$1:AG484)+1,""),"")</f>
        <v/>
      </c>
    </row>
    <row r="486">
      <c r="W486" s="2">
        <f>IF(A486="line",IF(D486="quote",E486,G486)&amp;"|"&amp;LOWER(TRIM(K486)),"")</f>
        <v/>
      </c>
      <c r="X486" s="2">
        <f>IF(OR(O486="LABOUR",O486="INSTALL"),"LABOUR_ALL",IF(O486="","",O486))</f>
        <v/>
      </c>
      <c r="Y486" s="9">
        <f>IF(AND(A486="line",D486="quote"),SUMIFS($N$2:$N$500,$W$2:$W$500,W486,$D$2:$D$500,"invoice",$A$2:$A$500,"line"),"")</f>
        <v/>
      </c>
      <c r="Z486" s="2">
        <f>IF(AND(A486="line",D486="quote"),COUNTIFS($W$2:$W$500,W486,$D$2:$D$500,"invoice",$A$2:$A$500,"line"),"")</f>
        <v/>
      </c>
      <c r="AA486" s="2">
        <f>IF(AND(A486="line",D486="invoice"),COUNTIFS($W$2:$W$500,W486,$D$2:$D$500,"quote",$A$2:$A$500,"line"),"")</f>
        <v/>
      </c>
      <c r="AB486" s="2">
        <f>IF(A486&lt;&gt;"line","",IF(D486="quote",IF(Z486=0,"quote only",IF(ABS(Y486-N486)&gt;Settings!$B$2,"amount differs","match")),IF(AA486=0,"invoice only","match")))</f>
        <v/>
      </c>
      <c r="AC486" s="2">
        <f>IF(AND(A486="line",AB486&lt;&gt;"match",COUNTIFS($A$2:$A$500,"coverage",$B$2:$B$500,B486,$C$2:$C$500,C486,$D$2:$D$500,"invoice")&gt;0),MAX($AC$1:AC485)+1,"")</f>
        <v/>
      </c>
      <c r="AD486" s="2">
        <f>IF(A486&lt;&gt;"line","",IF(O486="UNMAPPED","no mapping rule",IF(P486="L","low confidence","")))</f>
        <v/>
      </c>
      <c r="AE486" s="2">
        <f>IF(AD486&lt;&gt;"",MAX($AE$1:AE485)+1,"")</f>
        <v/>
      </c>
      <c r="AF486" s="2">
        <f>IF(A486="coverage",MAX($AF$1:AF485)+1,"")</f>
        <v/>
      </c>
      <c r="AG486" s="2">
        <f>IF(A486="line",IF(COUNTIFS($B$1:B485,B486,$C$1:C485,C486,$A$1:A485,"line")=0,MAX($AG$1:AG485)+1,""),"")</f>
        <v/>
      </c>
    </row>
    <row r="487">
      <c r="W487" s="2">
        <f>IF(A487="line",IF(D487="quote",E487,G487)&amp;"|"&amp;LOWER(TRIM(K487)),"")</f>
        <v/>
      </c>
      <c r="X487" s="2">
        <f>IF(OR(O487="LABOUR",O487="INSTALL"),"LABOUR_ALL",IF(O487="","",O487))</f>
        <v/>
      </c>
      <c r="Y487" s="9">
        <f>IF(AND(A487="line",D487="quote"),SUMIFS($N$2:$N$500,$W$2:$W$500,W487,$D$2:$D$500,"invoice",$A$2:$A$500,"line"),"")</f>
        <v/>
      </c>
      <c r="Z487" s="2">
        <f>IF(AND(A487="line",D487="quote"),COUNTIFS($W$2:$W$500,W487,$D$2:$D$500,"invoice",$A$2:$A$500,"line"),"")</f>
        <v/>
      </c>
      <c r="AA487" s="2">
        <f>IF(AND(A487="line",D487="invoice"),COUNTIFS($W$2:$W$500,W487,$D$2:$D$500,"quote",$A$2:$A$500,"line"),"")</f>
        <v/>
      </c>
      <c r="AB487" s="2">
        <f>IF(A487&lt;&gt;"line","",IF(D487="quote",IF(Z487=0,"quote only",IF(ABS(Y487-N487)&gt;Settings!$B$2,"amount differs","match")),IF(AA487=0,"invoice only","match")))</f>
        <v/>
      </c>
      <c r="AC487" s="2">
        <f>IF(AND(A487="line",AB487&lt;&gt;"match",COUNTIFS($A$2:$A$500,"coverage",$B$2:$B$500,B487,$C$2:$C$500,C487,$D$2:$D$500,"invoice")&gt;0),MAX($AC$1:AC486)+1,"")</f>
        <v/>
      </c>
      <c r="AD487" s="2">
        <f>IF(A487&lt;&gt;"line","",IF(O487="UNMAPPED","no mapping rule",IF(P487="L","low confidence","")))</f>
        <v/>
      </c>
      <c r="AE487" s="2">
        <f>IF(AD487&lt;&gt;"",MAX($AE$1:AE486)+1,"")</f>
        <v/>
      </c>
      <c r="AF487" s="2">
        <f>IF(A487="coverage",MAX($AF$1:AF486)+1,"")</f>
        <v/>
      </c>
      <c r="AG487" s="2">
        <f>IF(A487="line",IF(COUNTIFS($B$1:B486,B487,$C$1:C486,C487,$A$1:A486,"line")=0,MAX($AG$1:AG486)+1,""),"")</f>
        <v/>
      </c>
    </row>
    <row r="488">
      <c r="W488" s="2">
        <f>IF(A488="line",IF(D488="quote",E488,G488)&amp;"|"&amp;LOWER(TRIM(K488)),"")</f>
        <v/>
      </c>
      <c r="X488" s="2">
        <f>IF(OR(O488="LABOUR",O488="INSTALL"),"LABOUR_ALL",IF(O488="","",O488))</f>
        <v/>
      </c>
      <c r="Y488" s="9">
        <f>IF(AND(A488="line",D488="quote"),SUMIFS($N$2:$N$500,$W$2:$W$500,W488,$D$2:$D$500,"invoice",$A$2:$A$500,"line"),"")</f>
        <v/>
      </c>
      <c r="Z488" s="2">
        <f>IF(AND(A488="line",D488="quote"),COUNTIFS($W$2:$W$500,W488,$D$2:$D$500,"invoice",$A$2:$A$500,"line"),"")</f>
        <v/>
      </c>
      <c r="AA488" s="2">
        <f>IF(AND(A488="line",D488="invoice"),COUNTIFS($W$2:$W$500,W488,$D$2:$D$500,"quote",$A$2:$A$500,"line"),"")</f>
        <v/>
      </c>
      <c r="AB488" s="2">
        <f>IF(A488&lt;&gt;"line","",IF(D488="quote",IF(Z488=0,"quote only",IF(ABS(Y488-N488)&gt;Settings!$B$2,"amount differs","match")),IF(AA488=0,"invoice only","match")))</f>
        <v/>
      </c>
      <c r="AC488" s="2">
        <f>IF(AND(A488="line",AB488&lt;&gt;"match",COUNTIFS($A$2:$A$500,"coverage",$B$2:$B$500,B488,$C$2:$C$500,C488,$D$2:$D$500,"invoice")&gt;0),MAX($AC$1:AC487)+1,"")</f>
        <v/>
      </c>
      <c r="AD488" s="2">
        <f>IF(A488&lt;&gt;"line","",IF(O488="UNMAPPED","no mapping rule",IF(P488="L","low confidence","")))</f>
        <v/>
      </c>
      <c r="AE488" s="2">
        <f>IF(AD488&lt;&gt;"",MAX($AE$1:AE487)+1,"")</f>
        <v/>
      </c>
      <c r="AF488" s="2">
        <f>IF(A488="coverage",MAX($AF$1:AF487)+1,"")</f>
        <v/>
      </c>
      <c r="AG488" s="2">
        <f>IF(A488="line",IF(COUNTIFS($B$1:B487,B488,$C$1:C487,C488,$A$1:A487,"line")=0,MAX($AG$1:AG487)+1,""),"")</f>
        <v/>
      </c>
    </row>
    <row r="489">
      <c r="W489" s="2">
        <f>IF(A489="line",IF(D489="quote",E489,G489)&amp;"|"&amp;LOWER(TRIM(K489)),"")</f>
        <v/>
      </c>
      <c r="X489" s="2">
        <f>IF(OR(O489="LABOUR",O489="INSTALL"),"LABOUR_ALL",IF(O489="","",O489))</f>
        <v/>
      </c>
      <c r="Y489" s="9">
        <f>IF(AND(A489="line",D489="quote"),SUMIFS($N$2:$N$500,$W$2:$W$500,W489,$D$2:$D$500,"invoice",$A$2:$A$500,"line"),"")</f>
        <v/>
      </c>
      <c r="Z489" s="2">
        <f>IF(AND(A489="line",D489="quote"),COUNTIFS($W$2:$W$500,W489,$D$2:$D$500,"invoice",$A$2:$A$500,"line"),"")</f>
        <v/>
      </c>
      <c r="AA489" s="2">
        <f>IF(AND(A489="line",D489="invoice"),COUNTIFS($W$2:$W$500,W489,$D$2:$D$500,"quote",$A$2:$A$500,"line"),"")</f>
        <v/>
      </c>
      <c r="AB489" s="2">
        <f>IF(A489&lt;&gt;"line","",IF(D489="quote",IF(Z489=0,"quote only",IF(ABS(Y489-N489)&gt;Settings!$B$2,"amount differs","match")),IF(AA489=0,"invoice only","match")))</f>
        <v/>
      </c>
      <c r="AC489" s="2">
        <f>IF(AND(A489="line",AB489&lt;&gt;"match",COUNTIFS($A$2:$A$500,"coverage",$B$2:$B$500,B489,$C$2:$C$500,C489,$D$2:$D$500,"invoice")&gt;0),MAX($AC$1:AC488)+1,"")</f>
        <v/>
      </c>
      <c r="AD489" s="2">
        <f>IF(A489&lt;&gt;"line","",IF(O489="UNMAPPED","no mapping rule",IF(P489="L","low confidence","")))</f>
        <v/>
      </c>
      <c r="AE489" s="2">
        <f>IF(AD489&lt;&gt;"",MAX($AE$1:AE488)+1,"")</f>
        <v/>
      </c>
      <c r="AF489" s="2">
        <f>IF(A489="coverage",MAX($AF$1:AF488)+1,"")</f>
        <v/>
      </c>
      <c r="AG489" s="2">
        <f>IF(A489="line",IF(COUNTIFS($B$1:B488,B489,$C$1:C488,C489,$A$1:A488,"line")=0,MAX($AG$1:AG488)+1,""),"")</f>
        <v/>
      </c>
    </row>
    <row r="490">
      <c r="W490" s="2">
        <f>IF(A490="line",IF(D490="quote",E490,G490)&amp;"|"&amp;LOWER(TRIM(K490)),"")</f>
        <v/>
      </c>
      <c r="X490" s="2">
        <f>IF(OR(O490="LABOUR",O490="INSTALL"),"LABOUR_ALL",IF(O490="","",O490))</f>
        <v/>
      </c>
      <c r="Y490" s="9">
        <f>IF(AND(A490="line",D490="quote"),SUMIFS($N$2:$N$500,$W$2:$W$500,W490,$D$2:$D$500,"invoice",$A$2:$A$500,"line"),"")</f>
        <v/>
      </c>
      <c r="Z490" s="2">
        <f>IF(AND(A490="line",D490="quote"),COUNTIFS($W$2:$W$500,W490,$D$2:$D$500,"invoice",$A$2:$A$500,"line"),"")</f>
        <v/>
      </c>
      <c r="AA490" s="2">
        <f>IF(AND(A490="line",D490="invoice"),COUNTIFS($W$2:$W$500,W490,$D$2:$D$500,"quote",$A$2:$A$500,"line"),"")</f>
        <v/>
      </c>
      <c r="AB490" s="2">
        <f>IF(A490&lt;&gt;"line","",IF(D490="quote",IF(Z490=0,"quote only",IF(ABS(Y490-N490)&gt;Settings!$B$2,"amount differs","match")),IF(AA490=0,"invoice only","match")))</f>
        <v/>
      </c>
      <c r="AC490" s="2">
        <f>IF(AND(A490="line",AB490&lt;&gt;"match",COUNTIFS($A$2:$A$500,"coverage",$B$2:$B$500,B490,$C$2:$C$500,C490,$D$2:$D$500,"invoice")&gt;0),MAX($AC$1:AC489)+1,"")</f>
        <v/>
      </c>
      <c r="AD490" s="2">
        <f>IF(A490&lt;&gt;"line","",IF(O490="UNMAPPED","no mapping rule",IF(P490="L","low confidence","")))</f>
        <v/>
      </c>
      <c r="AE490" s="2">
        <f>IF(AD490&lt;&gt;"",MAX($AE$1:AE489)+1,"")</f>
        <v/>
      </c>
      <c r="AF490" s="2">
        <f>IF(A490="coverage",MAX($AF$1:AF489)+1,"")</f>
        <v/>
      </c>
      <c r="AG490" s="2">
        <f>IF(A490="line",IF(COUNTIFS($B$1:B489,B490,$C$1:C489,C490,$A$1:A489,"line")=0,MAX($AG$1:AG489)+1,""),"")</f>
        <v/>
      </c>
    </row>
    <row r="491">
      <c r="W491" s="2">
        <f>IF(A491="line",IF(D491="quote",E491,G491)&amp;"|"&amp;LOWER(TRIM(K491)),"")</f>
        <v/>
      </c>
      <c r="X491" s="2">
        <f>IF(OR(O491="LABOUR",O491="INSTALL"),"LABOUR_ALL",IF(O491="","",O491))</f>
        <v/>
      </c>
      <c r="Y491" s="9">
        <f>IF(AND(A491="line",D491="quote"),SUMIFS($N$2:$N$500,$W$2:$W$500,W491,$D$2:$D$500,"invoice",$A$2:$A$500,"line"),"")</f>
        <v/>
      </c>
      <c r="Z491" s="2">
        <f>IF(AND(A491="line",D491="quote"),COUNTIFS($W$2:$W$500,W491,$D$2:$D$500,"invoice",$A$2:$A$500,"line"),"")</f>
        <v/>
      </c>
      <c r="AA491" s="2">
        <f>IF(AND(A491="line",D491="invoice"),COUNTIFS($W$2:$W$500,W491,$D$2:$D$500,"quote",$A$2:$A$500,"line"),"")</f>
        <v/>
      </c>
      <c r="AB491" s="2">
        <f>IF(A491&lt;&gt;"line","",IF(D491="quote",IF(Z491=0,"quote only",IF(ABS(Y491-N491)&gt;Settings!$B$2,"amount differs","match")),IF(AA491=0,"invoice only","match")))</f>
        <v/>
      </c>
      <c r="AC491" s="2">
        <f>IF(AND(A491="line",AB491&lt;&gt;"match",COUNTIFS($A$2:$A$500,"coverage",$B$2:$B$500,B491,$C$2:$C$500,C491,$D$2:$D$500,"invoice")&gt;0),MAX($AC$1:AC490)+1,"")</f>
        <v/>
      </c>
      <c r="AD491" s="2">
        <f>IF(A491&lt;&gt;"line","",IF(O491="UNMAPPED","no mapping rule",IF(P491="L","low confidence","")))</f>
        <v/>
      </c>
      <c r="AE491" s="2">
        <f>IF(AD491&lt;&gt;"",MAX($AE$1:AE490)+1,"")</f>
        <v/>
      </c>
      <c r="AF491" s="2">
        <f>IF(A491="coverage",MAX($AF$1:AF490)+1,"")</f>
        <v/>
      </c>
      <c r="AG491" s="2">
        <f>IF(A491="line",IF(COUNTIFS($B$1:B490,B491,$C$1:C490,C491,$A$1:A490,"line")=0,MAX($AG$1:AG490)+1,""),"")</f>
        <v/>
      </c>
    </row>
    <row r="492">
      <c r="W492" s="2">
        <f>IF(A492="line",IF(D492="quote",E492,G492)&amp;"|"&amp;LOWER(TRIM(K492)),"")</f>
        <v/>
      </c>
      <c r="X492" s="2">
        <f>IF(OR(O492="LABOUR",O492="INSTALL"),"LABOUR_ALL",IF(O492="","",O492))</f>
        <v/>
      </c>
      <c r="Y492" s="9">
        <f>IF(AND(A492="line",D492="quote"),SUMIFS($N$2:$N$500,$W$2:$W$500,W492,$D$2:$D$500,"invoice",$A$2:$A$500,"line"),"")</f>
        <v/>
      </c>
      <c r="Z492" s="2">
        <f>IF(AND(A492="line",D492="quote"),COUNTIFS($W$2:$W$500,W492,$D$2:$D$500,"invoice",$A$2:$A$500,"line"),"")</f>
        <v/>
      </c>
      <c r="AA492" s="2">
        <f>IF(AND(A492="line",D492="invoice"),COUNTIFS($W$2:$W$500,W492,$D$2:$D$500,"quote",$A$2:$A$500,"line"),"")</f>
        <v/>
      </c>
      <c r="AB492" s="2">
        <f>IF(A492&lt;&gt;"line","",IF(D492="quote",IF(Z492=0,"quote only",IF(ABS(Y492-N492)&gt;Settings!$B$2,"amount differs","match")),IF(AA492=0,"invoice only","match")))</f>
        <v/>
      </c>
      <c r="AC492" s="2">
        <f>IF(AND(A492="line",AB492&lt;&gt;"match",COUNTIFS($A$2:$A$500,"coverage",$B$2:$B$500,B492,$C$2:$C$500,C492,$D$2:$D$500,"invoice")&gt;0),MAX($AC$1:AC491)+1,"")</f>
        <v/>
      </c>
      <c r="AD492" s="2">
        <f>IF(A492&lt;&gt;"line","",IF(O492="UNMAPPED","no mapping rule",IF(P492="L","low confidence","")))</f>
        <v/>
      </c>
      <c r="AE492" s="2">
        <f>IF(AD492&lt;&gt;"",MAX($AE$1:AE491)+1,"")</f>
        <v/>
      </c>
      <c r="AF492" s="2">
        <f>IF(A492="coverage",MAX($AF$1:AF491)+1,"")</f>
        <v/>
      </c>
      <c r="AG492" s="2">
        <f>IF(A492="line",IF(COUNTIFS($B$1:B491,B492,$C$1:C491,C492,$A$1:A491,"line")=0,MAX($AG$1:AG491)+1,""),"")</f>
        <v/>
      </c>
    </row>
    <row r="493">
      <c r="W493" s="2">
        <f>IF(A493="line",IF(D493="quote",E493,G493)&amp;"|"&amp;LOWER(TRIM(K493)),"")</f>
        <v/>
      </c>
      <c r="X493" s="2">
        <f>IF(OR(O493="LABOUR",O493="INSTALL"),"LABOUR_ALL",IF(O493="","",O493))</f>
        <v/>
      </c>
      <c r="Y493" s="9">
        <f>IF(AND(A493="line",D493="quote"),SUMIFS($N$2:$N$500,$W$2:$W$500,W493,$D$2:$D$500,"invoice",$A$2:$A$500,"line"),"")</f>
        <v/>
      </c>
      <c r="Z493" s="2">
        <f>IF(AND(A493="line",D493="quote"),COUNTIFS($W$2:$W$500,W493,$D$2:$D$500,"invoice",$A$2:$A$500,"line"),"")</f>
        <v/>
      </c>
      <c r="AA493" s="2">
        <f>IF(AND(A493="line",D493="invoice"),COUNTIFS($W$2:$W$500,W493,$D$2:$D$500,"quote",$A$2:$A$500,"line"),"")</f>
        <v/>
      </c>
      <c r="AB493" s="2">
        <f>IF(A493&lt;&gt;"line","",IF(D493="quote",IF(Z493=0,"quote only",IF(ABS(Y493-N493)&gt;Settings!$B$2,"amount differs","match")),IF(AA493=0,"invoice only","match")))</f>
        <v/>
      </c>
      <c r="AC493" s="2">
        <f>IF(AND(A493="line",AB493&lt;&gt;"match",COUNTIFS($A$2:$A$500,"coverage",$B$2:$B$500,B493,$C$2:$C$500,C493,$D$2:$D$500,"invoice")&gt;0),MAX($AC$1:AC492)+1,"")</f>
        <v/>
      </c>
      <c r="AD493" s="2">
        <f>IF(A493&lt;&gt;"line","",IF(O493="UNMAPPED","no mapping rule",IF(P493="L","low confidence","")))</f>
        <v/>
      </c>
      <c r="AE493" s="2">
        <f>IF(AD493&lt;&gt;"",MAX($AE$1:AE492)+1,"")</f>
        <v/>
      </c>
      <c r="AF493" s="2">
        <f>IF(A493="coverage",MAX($AF$1:AF492)+1,"")</f>
        <v/>
      </c>
      <c r="AG493" s="2">
        <f>IF(A493="line",IF(COUNTIFS($B$1:B492,B493,$C$1:C492,C493,$A$1:A492,"line")=0,MAX($AG$1:AG492)+1,""),"")</f>
        <v/>
      </c>
    </row>
    <row r="494">
      <c r="W494" s="2">
        <f>IF(A494="line",IF(D494="quote",E494,G494)&amp;"|"&amp;LOWER(TRIM(K494)),"")</f>
        <v/>
      </c>
      <c r="X494" s="2">
        <f>IF(OR(O494="LABOUR",O494="INSTALL"),"LABOUR_ALL",IF(O494="","",O494))</f>
        <v/>
      </c>
      <c r="Y494" s="9">
        <f>IF(AND(A494="line",D494="quote"),SUMIFS($N$2:$N$500,$W$2:$W$500,W494,$D$2:$D$500,"invoice",$A$2:$A$500,"line"),"")</f>
        <v/>
      </c>
      <c r="Z494" s="2">
        <f>IF(AND(A494="line",D494="quote"),COUNTIFS($W$2:$W$500,W494,$D$2:$D$500,"invoice",$A$2:$A$500,"line"),"")</f>
        <v/>
      </c>
      <c r="AA494" s="2">
        <f>IF(AND(A494="line",D494="invoice"),COUNTIFS($W$2:$W$500,W494,$D$2:$D$500,"quote",$A$2:$A$500,"line"),"")</f>
        <v/>
      </c>
      <c r="AB494" s="2">
        <f>IF(A494&lt;&gt;"line","",IF(D494="quote",IF(Z494=0,"quote only",IF(ABS(Y494-N494)&gt;Settings!$B$2,"amount differs","match")),IF(AA494=0,"invoice only","match")))</f>
        <v/>
      </c>
      <c r="AC494" s="2">
        <f>IF(AND(A494="line",AB494&lt;&gt;"match",COUNTIFS($A$2:$A$500,"coverage",$B$2:$B$500,B494,$C$2:$C$500,C494,$D$2:$D$500,"invoice")&gt;0),MAX($AC$1:AC493)+1,"")</f>
        <v/>
      </c>
      <c r="AD494" s="2">
        <f>IF(A494&lt;&gt;"line","",IF(O494="UNMAPPED","no mapping rule",IF(P494="L","low confidence","")))</f>
        <v/>
      </c>
      <c r="AE494" s="2">
        <f>IF(AD494&lt;&gt;"",MAX($AE$1:AE493)+1,"")</f>
        <v/>
      </c>
      <c r="AF494" s="2">
        <f>IF(A494="coverage",MAX($AF$1:AF493)+1,"")</f>
        <v/>
      </c>
      <c r="AG494" s="2">
        <f>IF(A494="line",IF(COUNTIFS($B$1:B493,B494,$C$1:C493,C494,$A$1:A493,"line")=0,MAX($AG$1:AG493)+1,""),"")</f>
        <v/>
      </c>
    </row>
    <row r="495">
      <c r="W495" s="2">
        <f>IF(A495="line",IF(D495="quote",E495,G495)&amp;"|"&amp;LOWER(TRIM(K495)),"")</f>
        <v/>
      </c>
      <c r="X495" s="2">
        <f>IF(OR(O495="LABOUR",O495="INSTALL"),"LABOUR_ALL",IF(O495="","",O495))</f>
        <v/>
      </c>
      <c r="Y495" s="9">
        <f>IF(AND(A495="line",D495="quote"),SUMIFS($N$2:$N$500,$W$2:$W$500,W495,$D$2:$D$500,"invoice",$A$2:$A$500,"line"),"")</f>
        <v/>
      </c>
      <c r="Z495" s="2">
        <f>IF(AND(A495="line",D495="quote"),COUNTIFS($W$2:$W$500,W495,$D$2:$D$500,"invoice",$A$2:$A$500,"line"),"")</f>
        <v/>
      </c>
      <c r="AA495" s="2">
        <f>IF(AND(A495="line",D495="invoice"),COUNTIFS($W$2:$W$500,W495,$D$2:$D$500,"quote",$A$2:$A$500,"line"),"")</f>
        <v/>
      </c>
      <c r="AB495" s="2">
        <f>IF(A495&lt;&gt;"line","",IF(D495="quote",IF(Z495=0,"quote only",IF(ABS(Y495-N495)&gt;Settings!$B$2,"amount differs","match")),IF(AA495=0,"invoice only","match")))</f>
        <v/>
      </c>
      <c r="AC495" s="2">
        <f>IF(AND(A495="line",AB495&lt;&gt;"match",COUNTIFS($A$2:$A$500,"coverage",$B$2:$B$500,B495,$C$2:$C$500,C495,$D$2:$D$500,"invoice")&gt;0),MAX($AC$1:AC494)+1,"")</f>
        <v/>
      </c>
      <c r="AD495" s="2">
        <f>IF(A495&lt;&gt;"line","",IF(O495="UNMAPPED","no mapping rule",IF(P495="L","low confidence","")))</f>
        <v/>
      </c>
      <c r="AE495" s="2">
        <f>IF(AD495&lt;&gt;"",MAX($AE$1:AE494)+1,"")</f>
        <v/>
      </c>
      <c r="AF495" s="2">
        <f>IF(A495="coverage",MAX($AF$1:AF494)+1,"")</f>
        <v/>
      </c>
      <c r="AG495" s="2">
        <f>IF(A495="line",IF(COUNTIFS($B$1:B494,B495,$C$1:C494,C495,$A$1:A494,"line")=0,MAX($AG$1:AG494)+1,""),"")</f>
        <v/>
      </c>
    </row>
    <row r="496">
      <c r="W496" s="2">
        <f>IF(A496="line",IF(D496="quote",E496,G496)&amp;"|"&amp;LOWER(TRIM(K496)),"")</f>
        <v/>
      </c>
      <c r="X496" s="2">
        <f>IF(OR(O496="LABOUR",O496="INSTALL"),"LABOUR_ALL",IF(O496="","",O496))</f>
        <v/>
      </c>
      <c r="Y496" s="9">
        <f>IF(AND(A496="line",D496="quote"),SUMIFS($N$2:$N$500,$W$2:$W$500,W496,$D$2:$D$500,"invoice",$A$2:$A$500,"line"),"")</f>
        <v/>
      </c>
      <c r="Z496" s="2">
        <f>IF(AND(A496="line",D496="quote"),COUNTIFS($W$2:$W$500,W496,$D$2:$D$500,"invoice",$A$2:$A$500,"line"),"")</f>
        <v/>
      </c>
      <c r="AA496" s="2">
        <f>IF(AND(A496="line",D496="invoice"),COUNTIFS($W$2:$W$500,W496,$D$2:$D$500,"quote",$A$2:$A$500,"line"),"")</f>
        <v/>
      </c>
      <c r="AB496" s="2">
        <f>IF(A496&lt;&gt;"line","",IF(D496="quote",IF(Z496=0,"quote only",IF(ABS(Y496-N496)&gt;Settings!$B$2,"amount differs","match")),IF(AA496=0,"invoice only","match")))</f>
        <v/>
      </c>
      <c r="AC496" s="2">
        <f>IF(AND(A496="line",AB496&lt;&gt;"match",COUNTIFS($A$2:$A$500,"coverage",$B$2:$B$500,B496,$C$2:$C$500,C496,$D$2:$D$500,"invoice")&gt;0),MAX($AC$1:AC495)+1,"")</f>
        <v/>
      </c>
      <c r="AD496" s="2">
        <f>IF(A496&lt;&gt;"line","",IF(O496="UNMAPPED","no mapping rule",IF(P496="L","low confidence","")))</f>
        <v/>
      </c>
      <c r="AE496" s="2">
        <f>IF(AD496&lt;&gt;"",MAX($AE$1:AE495)+1,"")</f>
        <v/>
      </c>
      <c r="AF496" s="2">
        <f>IF(A496="coverage",MAX($AF$1:AF495)+1,"")</f>
        <v/>
      </c>
      <c r="AG496" s="2">
        <f>IF(A496="line",IF(COUNTIFS($B$1:B495,B496,$C$1:C495,C496,$A$1:A495,"line")=0,MAX($AG$1:AG495)+1,""),"")</f>
        <v/>
      </c>
    </row>
    <row r="497">
      <c r="W497" s="2">
        <f>IF(A497="line",IF(D497="quote",E497,G497)&amp;"|"&amp;LOWER(TRIM(K497)),"")</f>
        <v/>
      </c>
      <c r="X497" s="2">
        <f>IF(OR(O497="LABOUR",O497="INSTALL"),"LABOUR_ALL",IF(O497="","",O497))</f>
        <v/>
      </c>
      <c r="Y497" s="9">
        <f>IF(AND(A497="line",D497="quote"),SUMIFS($N$2:$N$500,$W$2:$W$500,W497,$D$2:$D$500,"invoice",$A$2:$A$500,"line"),"")</f>
        <v/>
      </c>
      <c r="Z497" s="2">
        <f>IF(AND(A497="line",D497="quote"),COUNTIFS($W$2:$W$500,W497,$D$2:$D$500,"invoice",$A$2:$A$500,"line"),"")</f>
        <v/>
      </c>
      <c r="AA497" s="2">
        <f>IF(AND(A497="line",D497="invoice"),COUNTIFS($W$2:$W$500,W497,$D$2:$D$500,"quote",$A$2:$A$500,"line"),"")</f>
        <v/>
      </c>
      <c r="AB497" s="2">
        <f>IF(A497&lt;&gt;"line","",IF(D497="quote",IF(Z497=0,"quote only",IF(ABS(Y497-N497)&gt;Settings!$B$2,"amount differs","match")),IF(AA497=0,"invoice only","match")))</f>
        <v/>
      </c>
      <c r="AC497" s="2">
        <f>IF(AND(A497="line",AB497&lt;&gt;"match",COUNTIFS($A$2:$A$500,"coverage",$B$2:$B$500,B497,$C$2:$C$500,C497,$D$2:$D$500,"invoice")&gt;0),MAX($AC$1:AC496)+1,"")</f>
        <v/>
      </c>
      <c r="AD497" s="2">
        <f>IF(A497&lt;&gt;"line","",IF(O497="UNMAPPED","no mapping rule",IF(P497="L","low confidence","")))</f>
        <v/>
      </c>
      <c r="AE497" s="2">
        <f>IF(AD497&lt;&gt;"",MAX($AE$1:AE496)+1,"")</f>
        <v/>
      </c>
      <c r="AF497" s="2">
        <f>IF(A497="coverage",MAX($AF$1:AF496)+1,"")</f>
        <v/>
      </c>
      <c r="AG497" s="2">
        <f>IF(A497="line",IF(COUNTIFS($B$1:B496,B497,$C$1:C496,C497,$A$1:A496,"line")=0,MAX($AG$1:AG496)+1,""),"")</f>
        <v/>
      </c>
    </row>
    <row r="498">
      <c r="W498" s="2">
        <f>IF(A498="line",IF(D498="quote",E498,G498)&amp;"|"&amp;LOWER(TRIM(K498)),"")</f>
        <v/>
      </c>
      <c r="X498" s="2">
        <f>IF(OR(O498="LABOUR",O498="INSTALL"),"LABOUR_ALL",IF(O498="","",O498))</f>
        <v/>
      </c>
      <c r="Y498" s="9">
        <f>IF(AND(A498="line",D498="quote"),SUMIFS($N$2:$N$500,$W$2:$W$500,W498,$D$2:$D$500,"invoice",$A$2:$A$500,"line"),"")</f>
        <v/>
      </c>
      <c r="Z498" s="2">
        <f>IF(AND(A498="line",D498="quote"),COUNTIFS($W$2:$W$500,W498,$D$2:$D$500,"invoice",$A$2:$A$500,"line"),"")</f>
        <v/>
      </c>
      <c r="AA498" s="2">
        <f>IF(AND(A498="line",D498="invoice"),COUNTIFS($W$2:$W$500,W498,$D$2:$D$500,"quote",$A$2:$A$500,"line"),"")</f>
        <v/>
      </c>
      <c r="AB498" s="2">
        <f>IF(A498&lt;&gt;"line","",IF(D498="quote",IF(Z498=0,"quote only",IF(ABS(Y498-N498)&gt;Settings!$B$2,"amount differs","match")),IF(AA498=0,"invoice only","match")))</f>
        <v/>
      </c>
      <c r="AC498" s="2">
        <f>IF(AND(A498="line",AB498&lt;&gt;"match",COUNTIFS($A$2:$A$500,"coverage",$B$2:$B$500,B498,$C$2:$C$500,C498,$D$2:$D$500,"invoice")&gt;0),MAX($AC$1:AC497)+1,"")</f>
        <v/>
      </c>
      <c r="AD498" s="2">
        <f>IF(A498&lt;&gt;"line","",IF(O498="UNMAPPED","no mapping rule",IF(P498="L","low confidence","")))</f>
        <v/>
      </c>
      <c r="AE498" s="2">
        <f>IF(AD498&lt;&gt;"",MAX($AE$1:AE497)+1,"")</f>
        <v/>
      </c>
      <c r="AF498" s="2">
        <f>IF(A498="coverage",MAX($AF$1:AF497)+1,"")</f>
        <v/>
      </c>
      <c r="AG498" s="2">
        <f>IF(A498="line",IF(COUNTIFS($B$1:B497,B498,$C$1:C497,C498,$A$1:A497,"line")=0,MAX($AG$1:AG497)+1,""),"")</f>
        <v/>
      </c>
    </row>
    <row r="499">
      <c r="W499" s="2">
        <f>IF(A499="line",IF(D499="quote",E499,G499)&amp;"|"&amp;LOWER(TRIM(K499)),"")</f>
        <v/>
      </c>
      <c r="X499" s="2">
        <f>IF(OR(O499="LABOUR",O499="INSTALL"),"LABOUR_ALL",IF(O499="","",O499))</f>
        <v/>
      </c>
      <c r="Y499" s="9">
        <f>IF(AND(A499="line",D499="quote"),SUMIFS($N$2:$N$500,$W$2:$W$500,W499,$D$2:$D$500,"invoice",$A$2:$A$500,"line"),"")</f>
        <v/>
      </c>
      <c r="Z499" s="2">
        <f>IF(AND(A499="line",D499="quote"),COUNTIFS($W$2:$W$500,W499,$D$2:$D$500,"invoice",$A$2:$A$500,"line"),"")</f>
        <v/>
      </c>
      <c r="AA499" s="2">
        <f>IF(AND(A499="line",D499="invoice"),COUNTIFS($W$2:$W$500,W499,$D$2:$D$500,"quote",$A$2:$A$500,"line"),"")</f>
        <v/>
      </c>
      <c r="AB499" s="2">
        <f>IF(A499&lt;&gt;"line","",IF(D499="quote",IF(Z499=0,"quote only",IF(ABS(Y499-N499)&gt;Settings!$B$2,"amount differs","match")),IF(AA499=0,"invoice only","match")))</f>
        <v/>
      </c>
      <c r="AC499" s="2">
        <f>IF(AND(A499="line",AB499&lt;&gt;"match",COUNTIFS($A$2:$A$500,"coverage",$B$2:$B$500,B499,$C$2:$C$500,C499,$D$2:$D$500,"invoice")&gt;0),MAX($AC$1:AC498)+1,"")</f>
        <v/>
      </c>
      <c r="AD499" s="2">
        <f>IF(A499&lt;&gt;"line","",IF(O499="UNMAPPED","no mapping rule",IF(P499="L","low confidence","")))</f>
        <v/>
      </c>
      <c r="AE499" s="2">
        <f>IF(AD499&lt;&gt;"",MAX($AE$1:AE498)+1,"")</f>
        <v/>
      </c>
      <c r="AF499" s="2">
        <f>IF(A499="coverage",MAX($AF$1:AF498)+1,"")</f>
        <v/>
      </c>
      <c r="AG499" s="2">
        <f>IF(A499="line",IF(COUNTIFS($B$1:B498,B499,$C$1:C498,C499,$A$1:A498,"line")=0,MAX($AG$1:AG498)+1,""),"")</f>
        <v/>
      </c>
    </row>
    <row r="500">
      <c r="W500" s="2">
        <f>IF(A500="line",IF(D500="quote",E500,G500)&amp;"|"&amp;LOWER(TRIM(K500)),"")</f>
        <v/>
      </c>
      <c r="X500" s="2">
        <f>IF(OR(O500="LABOUR",O500="INSTALL"),"LABOUR_ALL",IF(O500="","",O500))</f>
        <v/>
      </c>
      <c r="Y500" s="9">
        <f>IF(AND(A500="line",D500="quote"),SUMIFS($N$2:$N$500,$W$2:$W$500,W500,$D$2:$D$500,"invoice",$A$2:$A$500,"line"),"")</f>
        <v/>
      </c>
      <c r="Z500" s="2">
        <f>IF(AND(A500="line",D500="quote"),COUNTIFS($W$2:$W$500,W500,$D$2:$D$500,"invoice",$A$2:$A$500,"line"),"")</f>
        <v/>
      </c>
      <c r="AA500" s="2">
        <f>IF(AND(A500="line",D500="invoice"),COUNTIFS($W$2:$W$500,W500,$D$2:$D$500,"quote",$A$2:$A$500,"line"),"")</f>
        <v/>
      </c>
      <c r="AB500" s="2">
        <f>IF(A500&lt;&gt;"line","",IF(D500="quote",IF(Z500=0,"quote only",IF(ABS(Y500-N500)&gt;Settings!$B$2,"amount differs","match")),IF(AA500=0,"invoice only","match")))</f>
        <v/>
      </c>
      <c r="AC500" s="2">
        <f>IF(AND(A500="line",AB500&lt;&gt;"match",COUNTIFS($A$2:$A$500,"coverage",$B$2:$B$500,B500,$C$2:$C$500,C500,$D$2:$D$500,"invoice")&gt;0),MAX($AC$1:AC499)+1,"")</f>
        <v/>
      </c>
      <c r="AD500" s="2">
        <f>IF(A500&lt;&gt;"line","",IF(O500="UNMAPPED","no mapping rule",IF(P500="L","low confidence","")))</f>
        <v/>
      </c>
      <c r="AE500" s="2">
        <f>IF(AD500&lt;&gt;"",MAX($AE$1:AE499)+1,"")</f>
        <v/>
      </c>
      <c r="AF500" s="2">
        <f>IF(A500="coverage",MAX($AF$1:AF499)+1,"")</f>
        <v/>
      </c>
      <c r="AG500" s="2">
        <f>IF(A500="line",IF(COUNTIFS($B$1:B499,B500,$C$1:C499,C500,$A$1:A499,"line")=0,MAX($AG$1:AG499)+1,""),"")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0" customWidth="1" min="3" max="3"/>
    <col width="50" customWidth="1" min="4" max="4"/>
  </cols>
  <sheetData>
    <row r="1">
      <c r="A1" s="5" t="inlineStr">
        <is>
          <t>label_as_printed</t>
        </is>
      </c>
      <c r="B1" s="5" t="inlineStr">
        <is>
          <t>category</t>
        </is>
      </c>
      <c r="C1" s="5" t="inlineStr">
        <is>
          <t>vendor</t>
        </is>
      </c>
      <c r="D1" s="5" t="inlineStr">
        <is>
          <t>note</t>
        </is>
      </c>
    </row>
    <row r="2">
      <c r="A2" s="4" t="inlineStr">
        <is>
          <t>Installation</t>
        </is>
      </c>
      <c r="B2" s="4" t="inlineStr">
        <is>
          <t>INSTALL</t>
        </is>
      </c>
      <c r="C2" s="4" t="inlineStr">
        <is>
          <t>any</t>
        </is>
      </c>
      <c r="D2" s="4" t="n"/>
    </row>
    <row r="3">
      <c r="A3" s="4" t="inlineStr">
        <is>
          <t>Install labour</t>
        </is>
      </c>
      <c r="B3" s="4" t="inlineStr">
        <is>
          <t>INSTALL</t>
        </is>
      </c>
      <c r="C3" s="4" t="inlineStr">
        <is>
          <t>any</t>
        </is>
      </c>
      <c r="D3" s="4" t="n"/>
    </row>
    <row r="4">
      <c r="A4" s="4" t="inlineStr">
        <is>
          <t>Delivery &amp; install</t>
        </is>
      </c>
      <c r="B4" s="4" t="inlineStr">
        <is>
          <t>INSTALL</t>
        </is>
      </c>
      <c r="C4" s="4" t="inlineStr">
        <is>
          <t>any</t>
        </is>
      </c>
      <c r="D4" s="4" t="n"/>
    </row>
    <row r="5">
      <c r="A5" s="4" t="inlineStr">
        <is>
          <t>Labour</t>
        </is>
      </c>
      <c r="B5" s="4" t="inlineStr">
        <is>
          <t>INSTALL</t>
        </is>
      </c>
      <c r="C5" s="4" t="inlineStr">
        <is>
          <t>any</t>
        </is>
      </c>
      <c r="D5" s="4" t="inlineStr">
        <is>
          <t>Confirm per vendor; some print labour for design time</t>
        </is>
      </c>
    </row>
    <row r="6">
      <c r="A6" s="4" t="inlineStr">
        <is>
          <t>Design fee</t>
        </is>
      </c>
      <c r="B6" s="4" t="inlineStr">
        <is>
          <t>LABOUR</t>
        </is>
      </c>
      <c r="C6" s="4" t="inlineStr">
        <is>
          <t>any</t>
        </is>
      </c>
      <c r="D6" s="4" t="n"/>
    </row>
    <row r="7">
      <c r="A7" s="4" t="inlineStr">
        <is>
          <t>Project management</t>
        </is>
      </c>
      <c r="B7" s="4" t="inlineStr">
        <is>
          <t>LABOUR</t>
        </is>
      </c>
      <c r="C7" s="4" t="inlineStr">
        <is>
          <t>any</t>
        </is>
      </c>
      <c r="D7" s="4" t="n"/>
    </row>
    <row r="8">
      <c r="A8" s="4" t="inlineStr">
        <is>
          <t>Freight</t>
        </is>
      </c>
      <c r="B8" s="4" t="inlineStr">
        <is>
          <t>LABOUR</t>
        </is>
      </c>
      <c r="C8" s="4" t="inlineStr">
        <is>
          <t>any</t>
        </is>
      </c>
      <c r="D8" s="4" t="n"/>
    </row>
    <row r="9">
      <c r="A9" s="4" t="inlineStr">
        <is>
          <t>Allowance</t>
        </is>
      </c>
      <c r="B9" s="4" t="inlineStr">
        <is>
          <t>ALLOWANCE</t>
        </is>
      </c>
      <c r="C9" s="4" t="inlineStr">
        <is>
          <t>any</t>
        </is>
      </c>
      <c r="D9" s="4" t="n"/>
    </row>
    <row r="10">
      <c r="A10" s="4" t="inlineStr">
        <is>
          <t>Contingency</t>
        </is>
      </c>
      <c r="B10" s="4" t="inlineStr">
        <is>
          <t>ALLOWANCE</t>
        </is>
      </c>
      <c r="C10" s="4" t="inlineStr">
        <is>
          <t>any</t>
        </is>
      </c>
      <c r="D10" s="4" t="n"/>
    </row>
    <row r="11">
      <c r="A11" s="4" t="inlineStr">
        <is>
          <t>Sales tax</t>
        </is>
      </c>
      <c r="B11" s="4" t="inlineStr">
        <is>
          <t>EXCLUDED</t>
        </is>
      </c>
      <c r="C11" s="4" t="inlineStr">
        <is>
          <t>any</t>
        </is>
      </c>
      <c r="D11" s="4" t="n"/>
    </row>
    <row r="12">
      <c r="A12" s="4" t="inlineStr">
        <is>
          <t>Surcharge</t>
        </is>
      </c>
      <c r="B12" s="4" t="inlineStr">
        <is>
          <t>EXCLUDED</t>
        </is>
      </c>
      <c r="C12" s="4" t="inlineStr">
        <is>
          <t>any</t>
        </is>
      </c>
      <c r="D12"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2" customWidth="1" min="3" max="3"/>
    <col width="8" customWidth="1" min="4" max="4"/>
    <col width="12" customWidth="1" min="5" max="5"/>
    <col width="70" customWidth="1" min="6" max="6"/>
    <col width="30" customWidth="1" min="7" max="7"/>
  </cols>
  <sheetData>
    <row r="1">
      <c r="A1" s="1" t="inlineStr">
        <is>
          <t>tracker_notes (paste Stage 3 output here; column E is a formula)</t>
        </is>
      </c>
    </row>
    <row r="2">
      <c r="A2" s="5" t="inlineStr">
        <is>
          <t>project</t>
        </is>
      </c>
      <c r="B2" s="5" t="inlineStr">
        <is>
          <t>vendor</t>
        </is>
      </c>
      <c r="C2" s="5" t="inlineStr">
        <is>
          <t>category</t>
        </is>
      </c>
      <c r="D2" s="5" t="inlineStr">
        <is>
          <t>note</t>
        </is>
      </c>
      <c r="E2" s="5" t="inlineStr">
        <is>
          <t>key</t>
        </is>
      </c>
    </row>
    <row r="3">
      <c r="A3" s="6" t="inlineStr">
        <is>
          <t>Project Alpha</t>
        </is>
      </c>
      <c r="B3" s="6" t="inlineStr">
        <is>
          <t>Vendor A</t>
        </is>
      </c>
      <c r="C3" s="6" t="inlineStr">
        <is>
          <t>LABOUR_ALL</t>
        </is>
      </c>
      <c r="D3" s="6" t="inlineStr">
        <is>
          <t>Invoiced above quoted. See Detail: 2 lines, additional installation hours and a higher freight charge.</t>
        </is>
      </c>
      <c r="E3" s="2">
        <f>IF(A3="","",A3&amp;"|"&amp;B3&amp;"|"&amp;C3)</f>
        <v/>
      </c>
    </row>
    <row r="4">
      <c r="A4" s="6" t="inlineStr">
        <is>
          <t>Project Alpha</t>
        </is>
      </c>
      <c r="B4" s="6" t="inlineStr">
        <is>
          <t>Vendor A</t>
        </is>
      </c>
      <c r="C4" s="6" t="inlineStr">
        <is>
          <t>INSTALL</t>
        </is>
      </c>
      <c r="D4" s="6" t="inlineStr">
        <is>
          <t>Invoiced above quoted. See Detail: 1 invoice-only line, installation hours billed by the hour.</t>
        </is>
      </c>
      <c r="E4" s="2">
        <f>IF(A4="","",A4&amp;"|"&amp;B4&amp;"|"&amp;C4)</f>
        <v/>
      </c>
    </row>
    <row r="5">
      <c r="A5" s="6" t="inlineStr">
        <is>
          <t>Project Alpha</t>
        </is>
      </c>
      <c r="B5" s="6" t="inlineStr">
        <is>
          <t>Vendor A</t>
        </is>
      </c>
      <c r="C5" s="6" t="inlineStr">
        <is>
          <t>PRODUCT</t>
        </is>
      </c>
      <c r="D5" s="6" t="inlineStr">
        <is>
          <t>matched exactly</t>
        </is>
      </c>
      <c r="E5" s="2">
        <f>IF(A5="","",A5&amp;"|"&amp;B5&amp;"|"&amp;C5)</f>
        <v/>
      </c>
    </row>
    <row r="6">
      <c r="A6" s="6" t="inlineStr">
        <is>
          <t>Project Alpha</t>
        </is>
      </c>
      <c r="B6" s="6" t="inlineStr">
        <is>
          <t>Vendor A</t>
        </is>
      </c>
      <c r="C6" s="6" t="inlineStr">
        <is>
          <t>ALLOWANCE</t>
        </is>
      </c>
      <c r="D6" s="6" t="inlineStr">
        <is>
          <t>Invoiced below quoted. See Detail: 1 quote-only line, contingency not drawn.</t>
        </is>
      </c>
      <c r="E6" s="2">
        <f>IF(A6="","",A6&amp;"|"&amp;B6&amp;"|"&amp;C6)</f>
        <v/>
      </c>
    </row>
    <row r="7">
      <c r="E7" s="2">
        <f>IF(A7="","",A7&amp;"|"&amp;B7&amp;"|"&amp;C7)</f>
        <v/>
      </c>
    </row>
    <row r="8">
      <c r="E8" s="2">
        <f>IF(A8="","",A8&amp;"|"&amp;B8&amp;"|"&amp;C8)</f>
        <v/>
      </c>
    </row>
    <row r="9">
      <c r="E9" s="2">
        <f>IF(A9="","",A9&amp;"|"&amp;B9&amp;"|"&amp;C9)</f>
        <v/>
      </c>
    </row>
    <row r="10">
      <c r="E10" s="2">
        <f>IF(A10="","",A10&amp;"|"&amp;B10&amp;"|"&amp;C10)</f>
        <v/>
      </c>
    </row>
    <row r="11">
      <c r="E11" s="2">
        <f>IF(A11="","",A11&amp;"|"&amp;B11&amp;"|"&amp;C11)</f>
        <v/>
      </c>
    </row>
    <row r="12">
      <c r="E12" s="2">
        <f>IF(A12="","",A12&amp;"|"&amp;B12&amp;"|"&amp;C12)</f>
        <v/>
      </c>
    </row>
    <row r="13">
      <c r="E13" s="2">
        <f>IF(A13="","",A13&amp;"|"&amp;B13&amp;"|"&amp;C13)</f>
        <v/>
      </c>
    </row>
    <row r="14">
      <c r="E14" s="2">
        <f>IF(A14="","",A14&amp;"|"&amp;B14&amp;"|"&amp;C14)</f>
        <v/>
      </c>
    </row>
    <row r="15">
      <c r="E15" s="2">
        <f>IF(A15="","",A15&amp;"|"&amp;B15&amp;"|"&amp;C15)</f>
        <v/>
      </c>
    </row>
    <row r="16">
      <c r="E16" s="2">
        <f>IF(A16="","",A16&amp;"|"&amp;B16&amp;"|"&amp;C16)</f>
        <v/>
      </c>
    </row>
    <row r="17">
      <c r="E17" s="2">
        <f>IF(A17="","",A17&amp;"|"&amp;B17&amp;"|"&amp;C17)</f>
        <v/>
      </c>
    </row>
    <row r="18">
      <c r="E18" s="2">
        <f>IF(A18="","",A18&amp;"|"&amp;B18&amp;"|"&amp;C18)</f>
        <v/>
      </c>
    </row>
    <row r="19">
      <c r="E19" s="2">
        <f>IF(A19="","",A19&amp;"|"&amp;B19&amp;"|"&amp;C19)</f>
        <v/>
      </c>
    </row>
    <row r="20">
      <c r="E20" s="2">
        <f>IF(A20="","",A20&amp;"|"&amp;B20&amp;"|"&amp;C20)</f>
        <v/>
      </c>
    </row>
    <row r="21">
      <c r="E21" s="2">
        <f>IF(A21="","",A21&amp;"|"&amp;B21&amp;"|"&amp;C21)</f>
        <v/>
      </c>
    </row>
    <row r="22">
      <c r="E22" s="2">
        <f>IF(A22="","",A22&amp;"|"&amp;B22&amp;"|"&amp;C22)</f>
        <v/>
      </c>
    </row>
    <row r="23">
      <c r="E23" s="2">
        <f>IF(A23="","",A23&amp;"|"&amp;B23&amp;"|"&amp;C23)</f>
        <v/>
      </c>
    </row>
    <row r="24">
      <c r="E24" s="2">
        <f>IF(A24="","",A24&amp;"|"&amp;B24&amp;"|"&amp;C24)</f>
        <v/>
      </c>
    </row>
    <row r="25">
      <c r="E25" s="2">
        <f>IF(A25="","",A25&amp;"|"&amp;B25&amp;"|"&amp;C25)</f>
        <v/>
      </c>
    </row>
    <row r="26">
      <c r="E26" s="2">
        <f>IF(A26="","",A26&amp;"|"&amp;B26&amp;"|"&amp;C26)</f>
        <v/>
      </c>
    </row>
    <row r="27">
      <c r="E27" s="2">
        <f>IF(A27="","",A27&amp;"|"&amp;B27&amp;"|"&amp;C27)</f>
        <v/>
      </c>
    </row>
    <row r="28">
      <c r="E28" s="2">
        <f>IF(A28="","",A28&amp;"|"&amp;B28&amp;"|"&amp;C28)</f>
        <v/>
      </c>
    </row>
    <row r="29">
      <c r="E29" s="2">
        <f>IF(A29="","",A29&amp;"|"&amp;B29&amp;"|"&amp;C29)</f>
        <v/>
      </c>
    </row>
    <row r="30">
      <c r="E30" s="2">
        <f>IF(A30="","",A30&amp;"|"&amp;B30&amp;"|"&amp;C30)</f>
        <v/>
      </c>
    </row>
    <row r="31">
      <c r="E31" s="2">
        <f>IF(A31="","",A31&amp;"|"&amp;B31&amp;"|"&amp;C31)</f>
        <v/>
      </c>
    </row>
    <row r="32">
      <c r="E32" s="2">
        <f>IF(A32="","",A32&amp;"|"&amp;B32&amp;"|"&amp;C32)</f>
        <v/>
      </c>
    </row>
    <row r="33">
      <c r="E33" s="2">
        <f>IF(A33="","",A33&amp;"|"&amp;B33&amp;"|"&amp;C33)</f>
        <v/>
      </c>
    </row>
    <row r="34">
      <c r="E34" s="2">
        <f>IF(A34="","",A34&amp;"|"&amp;B34&amp;"|"&amp;C34)</f>
        <v/>
      </c>
    </row>
    <row r="35">
      <c r="E35" s="2">
        <f>IF(A35="","",A35&amp;"|"&amp;B35&amp;"|"&amp;C35)</f>
        <v/>
      </c>
    </row>
    <row r="36">
      <c r="E36" s="2">
        <f>IF(A36="","",A36&amp;"|"&amp;B36&amp;"|"&amp;C36)</f>
        <v/>
      </c>
    </row>
    <row r="37">
      <c r="E37" s="2">
        <f>IF(A37="","",A37&amp;"|"&amp;B37&amp;"|"&amp;C37)</f>
        <v/>
      </c>
    </row>
    <row r="38">
      <c r="E38" s="2">
        <f>IF(A38="","",A38&amp;"|"&amp;B38&amp;"|"&amp;C38)</f>
        <v/>
      </c>
    </row>
    <row r="39">
      <c r="E39" s="2">
        <f>IF(A39="","",A39&amp;"|"&amp;B39&amp;"|"&amp;C39)</f>
        <v/>
      </c>
    </row>
    <row r="40">
      <c r="E40" s="2">
        <f>IF(A40="","",A40&amp;"|"&amp;B40&amp;"|"&amp;C40)</f>
        <v/>
      </c>
    </row>
    <row r="41">
      <c r="E41" s="2">
        <f>IF(A41="","",A41&amp;"|"&amp;B41&amp;"|"&amp;C41)</f>
        <v/>
      </c>
    </row>
    <row r="42">
      <c r="E42" s="2">
        <f>IF(A42="","",A42&amp;"|"&amp;B42&amp;"|"&amp;C42)</f>
        <v/>
      </c>
    </row>
    <row r="43">
      <c r="E43" s="2">
        <f>IF(A43="","",A43&amp;"|"&amp;B43&amp;"|"&amp;C43)</f>
        <v/>
      </c>
    </row>
    <row r="44">
      <c r="E44" s="2">
        <f>IF(A44="","",A44&amp;"|"&amp;B44&amp;"|"&amp;C44)</f>
        <v/>
      </c>
    </row>
    <row r="45">
      <c r="E45" s="2">
        <f>IF(A45="","",A45&amp;"|"&amp;B45&amp;"|"&amp;C45)</f>
        <v/>
      </c>
    </row>
    <row r="46">
      <c r="E46" s="2">
        <f>IF(A46="","",A46&amp;"|"&amp;B46&amp;"|"&amp;C46)</f>
        <v/>
      </c>
    </row>
    <row r="47">
      <c r="E47" s="2">
        <f>IF(A47="","",A47&amp;"|"&amp;B47&amp;"|"&amp;C47)</f>
        <v/>
      </c>
    </row>
    <row r="48">
      <c r="E48" s="2">
        <f>IF(A48="","",A48&amp;"|"&amp;B48&amp;"|"&amp;C48)</f>
        <v/>
      </c>
    </row>
    <row r="49">
      <c r="E49" s="2">
        <f>IF(A49="","",A49&amp;"|"&amp;B49&amp;"|"&amp;C49)</f>
        <v/>
      </c>
    </row>
    <row r="50">
      <c r="E50" s="2">
        <f>IF(A50="","",A50&amp;"|"&amp;B50&amp;"|"&amp;C50)</f>
        <v/>
      </c>
    </row>
    <row r="51">
      <c r="E51" s="2">
        <f>IF(A51="","",A51&amp;"|"&amp;B51&amp;"|"&amp;C51)</f>
        <v/>
      </c>
    </row>
    <row r="52">
      <c r="E52" s="2">
        <f>IF(A52="","",A52&amp;"|"&amp;B52&amp;"|"&amp;C52)</f>
        <v/>
      </c>
    </row>
    <row r="60">
      <c r="A60" s="1" t="inlineStr">
        <is>
          <t>detail_notes (paste Stage 3 output here; column G is a formula)</t>
        </is>
      </c>
    </row>
    <row r="61">
      <c r="A61" s="5" t="inlineStr">
        <is>
          <t>project</t>
        </is>
      </c>
      <c r="B61" s="5" t="inlineStr">
        <is>
          <t>vendor</t>
        </is>
      </c>
      <c r="C61" s="5" t="inlineStr">
        <is>
          <t>doc_id</t>
        </is>
      </c>
      <c r="D61" s="5" t="inlineStr">
        <is>
          <t>line_no</t>
        </is>
      </c>
      <c r="E61" s="5" t="inlineStr">
        <is>
          <t>standard_ref</t>
        </is>
      </c>
      <c r="F61" s="5" t="inlineStr">
        <is>
          <t>note</t>
        </is>
      </c>
      <c r="G61" s="5" t="inlineStr">
        <is>
          <t>key</t>
        </is>
      </c>
    </row>
    <row r="62">
      <c r="A62" s="6" t="inlineStr">
        <is>
          <t>Project Alpha</t>
        </is>
      </c>
      <c r="B62" s="6" t="inlineStr">
        <is>
          <t>Vendor A</t>
        </is>
      </c>
      <c r="C62" s="6" t="inlineStr">
        <is>
          <t>INV-2001</t>
        </is>
      </c>
      <c r="D62" s="6" t="n">
        <v>5</v>
      </c>
      <c r="E62" s="6" t="inlineStr">
        <is>
          <t>1</t>
        </is>
      </c>
      <c r="F62" s="6" t="inlineStr">
        <is>
          <t>Hourly installation labour billed on top of the fixed-price installation line.</t>
        </is>
      </c>
      <c r="G62" s="2">
        <f>IF(C62="","",C62&amp;"|"&amp;D62)</f>
        <v/>
      </c>
    </row>
    <row r="63">
      <c r="A63" s="6" t="inlineStr">
        <is>
          <t>Project Alpha</t>
        </is>
      </c>
      <c r="B63" s="6" t="inlineStr">
        <is>
          <t>Vendor A</t>
        </is>
      </c>
      <c r="C63" s="6" t="inlineStr">
        <is>
          <t>Q-1001</t>
        </is>
      </c>
      <c r="D63" s="6" t="n">
        <v>6</v>
      </c>
      <c r="E63" s="6" t="inlineStr">
        <is>
          <t>NONE</t>
        </is>
      </c>
      <c r="F63" s="6" t="inlineStr">
        <is>
          <t>Freight invoiced above the quoted amount.</t>
        </is>
      </c>
      <c r="G63" s="2">
        <f>IF(C63="","",C63&amp;"|"&amp;D63)</f>
        <v/>
      </c>
    </row>
    <row r="64">
      <c r="G64" s="2">
        <f>IF(C64="","",C64&amp;"|"&amp;D64)</f>
        <v/>
      </c>
    </row>
    <row r="65">
      <c r="G65" s="2">
        <f>IF(C65="","",C65&amp;"|"&amp;D65)</f>
        <v/>
      </c>
    </row>
    <row r="66">
      <c r="G66" s="2">
        <f>IF(C66="","",C66&amp;"|"&amp;D66)</f>
        <v/>
      </c>
    </row>
    <row r="67">
      <c r="G67" s="2">
        <f>IF(C67="","",C67&amp;"|"&amp;D67)</f>
        <v/>
      </c>
    </row>
    <row r="68">
      <c r="G68" s="2">
        <f>IF(C68="","",C68&amp;"|"&amp;D68)</f>
        <v/>
      </c>
    </row>
    <row r="69">
      <c r="G69" s="2">
        <f>IF(C69="","",C69&amp;"|"&amp;D69)</f>
        <v/>
      </c>
    </row>
    <row r="70">
      <c r="G70" s="2">
        <f>IF(C70="","",C70&amp;"|"&amp;D70)</f>
        <v/>
      </c>
    </row>
    <row r="71">
      <c r="G71" s="2">
        <f>IF(C71="","",C71&amp;"|"&amp;D71)</f>
        <v/>
      </c>
    </row>
    <row r="72">
      <c r="G72" s="2">
        <f>IF(C72="","",C72&amp;"|"&amp;D72)</f>
        <v/>
      </c>
    </row>
    <row r="73">
      <c r="G73" s="2">
        <f>IF(C73="","",C73&amp;"|"&amp;D73)</f>
        <v/>
      </c>
    </row>
    <row r="74">
      <c r="G74" s="2">
        <f>IF(C74="","",C74&amp;"|"&amp;D74)</f>
        <v/>
      </c>
    </row>
    <row r="75">
      <c r="G75" s="2">
        <f>IF(C75="","",C75&amp;"|"&amp;D75)</f>
        <v/>
      </c>
    </row>
    <row r="76">
      <c r="G76" s="2">
        <f>IF(C76="","",C76&amp;"|"&amp;D76)</f>
        <v/>
      </c>
    </row>
    <row r="77">
      <c r="G77" s="2">
        <f>IF(C77="","",C77&amp;"|"&amp;D77)</f>
        <v/>
      </c>
    </row>
    <row r="78">
      <c r="G78" s="2">
        <f>IF(C78="","",C78&amp;"|"&amp;D78)</f>
        <v/>
      </c>
    </row>
    <row r="79">
      <c r="G79" s="2">
        <f>IF(C79="","",C79&amp;"|"&amp;D79)</f>
        <v/>
      </c>
    </row>
    <row r="80">
      <c r="G80" s="2">
        <f>IF(C80="","",C80&amp;"|"&amp;D80)</f>
        <v/>
      </c>
    </row>
    <row r="81">
      <c r="G81" s="2">
        <f>IF(C81="","",C81&amp;"|"&amp;D81)</f>
        <v/>
      </c>
    </row>
    <row r="82">
      <c r="G82" s="2">
        <f>IF(C82="","",C82&amp;"|"&amp;D82)</f>
        <v/>
      </c>
    </row>
    <row r="83">
      <c r="G83" s="2">
        <f>IF(C83="","",C83&amp;"|"&amp;D83)</f>
        <v/>
      </c>
    </row>
    <row r="84">
      <c r="G84" s="2">
        <f>IF(C84="","",C84&amp;"|"&amp;D84)</f>
        <v/>
      </c>
    </row>
    <row r="85">
      <c r="G85" s="2">
        <f>IF(C85="","",C85&amp;"|"&amp;D85)</f>
        <v/>
      </c>
    </row>
    <row r="86">
      <c r="G86" s="2">
        <f>IF(C86="","",C86&amp;"|"&amp;D86)</f>
        <v/>
      </c>
    </row>
    <row r="87">
      <c r="G87" s="2">
        <f>IF(C87="","",C87&amp;"|"&amp;D87)</f>
        <v/>
      </c>
    </row>
    <row r="88">
      <c r="G88" s="2">
        <f>IF(C88="","",C88&amp;"|"&amp;D88)</f>
        <v/>
      </c>
    </row>
    <row r="89">
      <c r="G89" s="2">
        <f>IF(C89="","",C89&amp;"|"&amp;D89)</f>
        <v/>
      </c>
    </row>
    <row r="90">
      <c r="G90" s="2">
        <f>IF(C90="","",C90&amp;"|"&amp;D90)</f>
        <v/>
      </c>
    </row>
    <row r="91">
      <c r="G91" s="2">
        <f>IF(C91="","",C91&amp;"|"&amp;D91)</f>
        <v/>
      </c>
    </row>
    <row r="92">
      <c r="G92" s="2">
        <f>IF(C92="","",C92&amp;"|"&amp;D92)</f>
        <v/>
      </c>
    </row>
    <row r="93">
      <c r="G93" s="2">
        <f>IF(C93="","",C93&amp;"|"&amp;D93)</f>
        <v/>
      </c>
    </row>
    <row r="94">
      <c r="G94" s="2">
        <f>IF(C94="","",C94&amp;"|"&amp;D94)</f>
        <v/>
      </c>
    </row>
    <row r="95">
      <c r="G95" s="2">
        <f>IF(C95="","",C95&amp;"|"&amp;D95)</f>
        <v/>
      </c>
    </row>
    <row r="96">
      <c r="G96" s="2">
        <f>IF(C96="","",C96&amp;"|"&amp;D96)</f>
        <v/>
      </c>
    </row>
    <row r="97">
      <c r="G97" s="2">
        <f>IF(C97="","",C97&amp;"|"&amp;D97)</f>
        <v/>
      </c>
    </row>
    <row r="98">
      <c r="G98" s="2">
        <f>IF(C98="","",C98&amp;"|"&amp;D98)</f>
        <v/>
      </c>
    </row>
    <row r="99">
      <c r="G99" s="2">
        <f>IF(C99="","",C99&amp;"|"&amp;D99)</f>
        <v/>
      </c>
    </row>
    <row r="100">
      <c r="G100" s="2">
        <f>IF(C100="","",C100&amp;"|"&amp;D100)</f>
        <v/>
      </c>
    </row>
    <row r="101">
      <c r="G101" s="2">
        <f>IF(C101="","",C101&amp;"|"&amp;D101)</f>
        <v/>
      </c>
    </row>
    <row r="102">
      <c r="G102" s="2">
        <f>IF(C102="","",C102&amp;"|"&amp;D102)</f>
        <v/>
      </c>
    </row>
    <row r="103">
      <c r="G103" s="2">
        <f>IF(C103="","",C103&amp;"|"&amp;D103)</f>
        <v/>
      </c>
    </row>
    <row r="104">
      <c r="G104" s="2">
        <f>IF(C104="","",C104&amp;"|"&amp;D104)</f>
        <v/>
      </c>
    </row>
    <row r="105">
      <c r="G105" s="2">
        <f>IF(C105="","",C105&amp;"|"&amp;D105)</f>
        <v/>
      </c>
    </row>
    <row r="106">
      <c r="G106" s="2">
        <f>IF(C106="","",C106&amp;"|"&amp;D106)</f>
        <v/>
      </c>
    </row>
    <row r="107">
      <c r="G107" s="2">
        <f>IF(C107="","",C107&amp;"|"&amp;D107)</f>
        <v/>
      </c>
    </row>
    <row r="108">
      <c r="G108" s="2">
        <f>IF(C108="","",C108&amp;"|"&amp;D108)</f>
        <v/>
      </c>
    </row>
    <row r="109">
      <c r="G109" s="2">
        <f>IF(C109="","",C109&amp;"|"&amp;D109)</f>
        <v/>
      </c>
    </row>
    <row r="110">
      <c r="G110" s="2">
        <f>IF(C110="","",C110&amp;"|"&amp;D110)</f>
        <v/>
      </c>
    </row>
    <row r="111">
      <c r="G111" s="2">
        <f>IF(C111="","",C111&amp;"|"&amp;D111)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51"/>
  <sheetViews>
    <sheetView workbookViewId="0">
      <pane ySplit="1" topLeftCell="A2" activePane="bottomLeft" state="frozen"/>
      <selection pane="bottomLeft" activeCell="A1" sqref="A1"/>
    </sheetView>
  </sheetViews>
  <sheetFormatPr baseColWidth="8" defaultRowHeight="15"/>
  <cols>
    <col width="5" customWidth="1" min="1" max="1"/>
    <col width="5" customWidth="1" min="2" max="2"/>
    <col width="10" customWidth="1" min="3" max="3"/>
    <col width="14" customWidth="1" min="4" max="4"/>
    <col width="10" customWidth="1" min="5" max="5"/>
    <col width="9" customWidth="1" min="6" max="6"/>
    <col width="11" customWidth="1" min="7" max="7"/>
    <col width="7" customWidth="1" min="8" max="8"/>
    <col width="7" customWidth="1" min="9" max="9"/>
    <col width="8" customWidth="1" min="10" max="10"/>
    <col width="8" customWidth="1" min="11" max="11"/>
    <col width="40" customWidth="1" min="12" max="12"/>
    <col width="13" customWidth="1" min="13" max="13"/>
    <col width="13" customWidth="1" min="14" max="14"/>
    <col width="15" customWidth="1" min="15" max="15"/>
    <col width="13" customWidth="1" min="16" max="16"/>
    <col width="13" customWidth="1" min="17" max="17"/>
    <col width="15" customWidth="1" min="18" max="18"/>
    <col width="13" customWidth="1" min="19" max="19"/>
    <col width="13" customWidth="1" min="20" max="20"/>
    <col width="15" customWidth="1" min="21" max="21"/>
    <col width="13" customWidth="1" min="22" max="22"/>
    <col width="13" customWidth="1" min="23" max="23"/>
    <col width="15" customWidth="1" min="24" max="24"/>
    <col width="13" customWidth="1" min="25" max="25"/>
    <col width="13" customWidth="1" min="26" max="26"/>
    <col width="15" customWidth="1" min="27" max="27"/>
    <col width="6" customWidth="1" min="28" max="28"/>
    <col width="60" customWidth="1" min="29" max="29"/>
    <col width="8" customWidth="1" min="30" max="30"/>
  </cols>
  <sheetData>
    <row r="1">
      <c r="A1" s="5" t="inlineStr">
        <is>
          <t>seq</t>
        </is>
      </c>
      <c r="B1" s="5" t="inlineStr">
        <is>
          <t>row</t>
        </is>
      </c>
      <c r="C1" s="5" t="inlineStr">
        <is>
          <t>doc_id</t>
        </is>
      </c>
      <c r="D1" s="5" t="inlineStr">
        <is>
          <t>project</t>
        </is>
      </c>
      <c r="E1" s="5" t="inlineStr">
        <is>
          <t>vendor</t>
        </is>
      </c>
      <c r="F1" s="5" t="inlineStr">
        <is>
          <t>doc_type</t>
        </is>
      </c>
      <c r="G1" s="5" t="inlineStr">
        <is>
          <t>doc_date</t>
        </is>
      </c>
      <c r="H1" s="5" t="inlineStr">
        <is>
          <t>pages_total</t>
        </is>
      </c>
      <c r="I1" s="5" t="inlineStr">
        <is>
          <t>pages_read</t>
        </is>
      </c>
      <c r="J1" s="5" t="inlineStr">
        <is>
          <t>native_or_scan</t>
        </is>
      </c>
      <c r="K1" s="5" t="inlineStr">
        <is>
          <t>mapping_provided</t>
        </is>
      </c>
      <c r="L1" s="5" t="inlineStr">
        <is>
          <t>source_file</t>
        </is>
      </c>
      <c r="M1" s="5" t="inlineStr">
        <is>
          <t>stated_LABOUR_ALL</t>
        </is>
      </c>
      <c r="N1" s="5" t="inlineStr">
        <is>
          <t>extracted_LABOUR_ALL</t>
        </is>
      </c>
      <c r="O1" s="5" t="inlineStr">
        <is>
          <t>check_LABOUR_ALL</t>
        </is>
      </c>
      <c r="P1" s="5" t="inlineStr">
        <is>
          <t>stated_INSTALL</t>
        </is>
      </c>
      <c r="Q1" s="5" t="inlineStr">
        <is>
          <t>extracted_INSTALL</t>
        </is>
      </c>
      <c r="R1" s="5" t="inlineStr">
        <is>
          <t>check_INSTALL</t>
        </is>
      </c>
      <c r="S1" s="5" t="inlineStr">
        <is>
          <t>stated_PRODUCT</t>
        </is>
      </c>
      <c r="T1" s="5" t="inlineStr">
        <is>
          <t>extracted_PRODUCT</t>
        </is>
      </c>
      <c r="U1" s="5" t="inlineStr">
        <is>
          <t>check_PRODUCT</t>
        </is>
      </c>
      <c r="V1" s="5" t="inlineStr">
        <is>
          <t>stated_ALLOWANCE</t>
        </is>
      </c>
      <c r="W1" s="5" t="inlineStr">
        <is>
          <t>extracted_ALLOWANCE</t>
        </is>
      </c>
      <c r="X1" s="5" t="inlineStr">
        <is>
          <t>check_ALLOWANCE</t>
        </is>
      </c>
      <c r="Y1" s="5" t="inlineStr">
        <is>
          <t>stated_GRAND</t>
        </is>
      </c>
      <c r="Z1" s="5" t="inlineStr">
        <is>
          <t>extracted_ALL</t>
        </is>
      </c>
      <c r="AA1" s="5" t="inlineStr">
        <is>
          <t>check_GRAND</t>
        </is>
      </c>
      <c r="AB1" s="5" t="inlineStr">
        <is>
          <t>dup_count</t>
        </is>
      </c>
      <c r="AC1" s="5" t="inlineStr">
        <is>
          <t>review_reason</t>
        </is>
      </c>
      <c r="AD1" s="5" t="inlineStr">
        <is>
          <t>review_seq</t>
        </is>
      </c>
    </row>
    <row r="2">
      <c r="A2" s="2" t="n">
        <v>1</v>
      </c>
      <c r="B2" s="2">
        <f>IFERROR(MATCH(A2,Lines!$AF$2:$AF$500,0),"")</f>
        <v/>
      </c>
      <c r="C2" s="2">
        <f>IF(B2="","",INDEX(Lines!$E$2:$E$500,B2)&amp;"")</f>
        <v/>
      </c>
      <c r="D2" s="2">
        <f>IF(B2="","",INDEX(Lines!$B$2:$B$500,B2)&amp;"")</f>
        <v/>
      </c>
      <c r="E2" s="2">
        <f>IF(B2="","",INDEX(Lines!$C$2:$C$500,B2)&amp;"")</f>
        <v/>
      </c>
      <c r="F2" s="2">
        <f>IF(B2="","",INDEX(Lines!$D$2:$D$500,B2)&amp;"")</f>
        <v/>
      </c>
      <c r="G2" s="2">
        <f>IF(B2="","",INDEX(Lines!$F$2:$F$500,B2)&amp;"")</f>
        <v/>
      </c>
      <c r="H2" s="2">
        <f>IF(B2="","",INDEX(Lines!$R$2:$R$500,B2))</f>
        <v/>
      </c>
      <c r="I2" s="2">
        <f>IF(B2="","",INDEX(Lines!$S$2:$S$500,B2)&amp;"")</f>
        <v/>
      </c>
      <c r="J2" s="2">
        <f>IF(B2="","",INDEX(Lines!$T$2:$T$500,B2)&amp;"")</f>
        <v/>
      </c>
      <c r="K2" s="2">
        <f>IF(B2="","",INDEX(Lines!$U$2:$U$500,B2)&amp;"")</f>
        <v/>
      </c>
      <c r="L2" s="2">
        <f>IF(B2="","",INDEX(Lines!$V$2:$V$500,B2)&amp;"")</f>
        <v/>
      </c>
      <c r="M2" s="9">
        <f>IF(C2="","",SUMIFS(Lines!$N$2:$N$500,Lines!$E$2:$E$500,C2,Lines!$A$2:$A$500,"total",Lines!$X$2:$X$500,"LABOUR_ALL"))</f>
        <v/>
      </c>
      <c r="N2" s="9">
        <f>IF(C2="","",SUMIFS(Lines!$N$2:$N$500,Lines!$E$2:$E$500,C2,Lines!$A$2:$A$500,"line",Lines!$X$2:$X$500,"LABOUR_ALL"))</f>
        <v/>
      </c>
      <c r="O2" s="2">
        <f>IF(C2="","",IF(M2=0,"no stated total",IF(ABS(M2-N2)&gt;Settings!$B$2,"MISMATCH","ok")))</f>
        <v/>
      </c>
      <c r="P2" s="9">
        <f>IF(C2="","",SUMIFS(Lines!$N$2:$N$500,Lines!$E$2:$E$500,C2,Lines!$A$2:$A$500,"total",Lines!$O$2:$O$500,"INSTALL"))</f>
        <v/>
      </c>
      <c r="Q2" s="9">
        <f>IF(C2="","",SUMIFS(Lines!$N$2:$N$500,Lines!$E$2:$E$500,C2,Lines!$A$2:$A$500,"line",Lines!$O$2:$O$500,"INSTALL"))</f>
        <v/>
      </c>
      <c r="R2" s="2">
        <f>IF(C2="","",IF(P2=0,"no stated total",IF(ABS(P2-Q2)&gt;Settings!$B$2,"MISMATCH","ok")))</f>
        <v/>
      </c>
      <c r="S2" s="9">
        <f>IF(C2="","",SUMIFS(Lines!$N$2:$N$500,Lines!$E$2:$E$500,C2,Lines!$A$2:$A$500,"total",Lines!$O$2:$O$500,"PRODUCT"))</f>
        <v/>
      </c>
      <c r="T2" s="9">
        <f>IF(C2="","",SUMIFS(Lines!$N$2:$N$500,Lines!$E$2:$E$500,C2,Lines!$A$2:$A$500,"line",Lines!$O$2:$O$500,"PRODUCT"))</f>
        <v/>
      </c>
      <c r="U2" s="2">
        <f>IF(C2="","",IF(S2=0,"no stated total",IF(ABS(S2-T2)&gt;Settings!$B$2,"MISMATCH","ok")))</f>
        <v/>
      </c>
      <c r="V2" s="9">
        <f>IF(C2="","",SUMIFS(Lines!$N$2:$N$500,Lines!$E$2:$E$500,C2,Lines!$A$2:$A$500,"total",Lines!$O$2:$O$500,"ALLOWANCE"))</f>
        <v/>
      </c>
      <c r="W2" s="9">
        <f>IF(C2="","",SUMIFS(Lines!$N$2:$N$500,Lines!$E$2:$E$500,C2,Lines!$A$2:$A$500,"line",Lines!$O$2:$O$500,"ALLOWANCE"))</f>
        <v/>
      </c>
      <c r="X2" s="2">
        <f>IF(C2="","",IF(V2=0,"no stated total",IF(ABS(V2-W2)&gt;Settings!$B$2,"MISMATCH","ok")))</f>
        <v/>
      </c>
      <c r="Y2" s="9">
        <f>IF(C2="","",SUMIFS(Lines!$N$2:$N$500,Lines!$E$2:$E$500,C2,Lines!$A$2:$A$500,"total",Lines!$O$2:$O$500,"GRAND"))</f>
        <v/>
      </c>
      <c r="Z2" s="9">
        <f>IF(C2="","",SUMIFS(Lines!$N$2:$N$500,Lines!$E$2:$E$500,C2,Lines!$A$2:$A$500,"line"))</f>
        <v/>
      </c>
      <c r="AA2" s="2">
        <f>IF(C2="","",IF(Y2=0,"no stated total",IF(ABS(Y2-Z2)&gt;Settings!$B$2,"MISMATCH","ok")))</f>
        <v/>
      </c>
      <c r="AB2" s="2">
        <f>IF(C2="","",COUNTIFS(Lines!$E$2:$E$500,C2,Lines!$A$2:$A$500,"coverage"))</f>
        <v/>
      </c>
      <c r="AC2" s="2">
        <f>IF(C2="","",IF(LEN(IF(O2="MISMATCH","lines do not sum to stated total (LABOUR_ALL); ","")&amp;IF(R2="MISMATCH","lines do not sum to stated total (INSTALL); ","")&amp;IF(U2="MISMATCH","lines do not sum to stated total (PRODUCT); ","")&amp;IF(X2="MISMATCH","lines do not sum to stated total (ALLOWANCE); ","")&amp;IF(AA2="MISMATCH","lines do not sum to grand total; ","")&amp;IF(OR(I2="1-"&amp;H2,AND(H2=1,I2="1")),"","pages not read; ")&amp;IF(K2="N","extracted without mapping table; ","")&amp;IF(AB2&gt;1,"document extracted twice; ",""))&gt;2,LEFT(IF(O2="MISMATCH","lines do not sum to stated total (LABOUR_ALL); ","")&amp;IF(R2="MISMATCH","lines do not sum to stated total (INSTALL); ","")&amp;IF(U2="MISMATCH","lines do not sum to stated total (PRODUCT); ","")&amp;IF(X2="MISMATCH","lines do not sum to stated total (ALLOWANCE); ","")&amp;IF(AA2="MISMATCH","lines do not sum to grand total; ","")&amp;IF(OR(I2="1-"&amp;H2,AND(H2=1,I2="1")),"","pages not read; ")&amp;IF(K2="N","extracted without mapping table; ","")&amp;IF(AB2&gt;1,"document extracted twice; ",""),LEN(IF(O2="MISMATCH","lines do not sum to stated total (LABOUR_ALL); ","")&amp;IF(R2="MISMATCH","lines do not sum to stated total (INSTALL); ","")&amp;IF(U2="MISMATCH","lines do not sum to stated total (PRODUCT); ","")&amp;IF(X2="MISMATCH","lines do not sum to stated total (ALLOWANCE); ","")&amp;IF(AA2="MISMATCH","lines do not sum to grand total; ","")&amp;IF(OR(I2="1-"&amp;H2,AND(H2=1,I2="1")),"","pages not read; ")&amp;IF(K2="N","extracted without mapping table; ","")&amp;IF(AB2&gt;1,"document extracted twice; ",""))-2),""))</f>
        <v/>
      </c>
      <c r="AD2" s="2">
        <f>IF(AC2&lt;&gt;"",MAX($AD$1:AD1)+1,"")</f>
        <v/>
      </c>
    </row>
    <row r="3">
      <c r="A3" s="2" t="n">
        <v>2</v>
      </c>
      <c r="B3" s="2">
        <f>IFERROR(MATCH(A3,Lines!$AF$2:$AF$500,0),"")</f>
        <v/>
      </c>
      <c r="C3" s="2">
        <f>IF(B3="","",INDEX(Lines!$E$2:$E$500,B3)&amp;"")</f>
        <v/>
      </c>
      <c r="D3" s="2">
        <f>IF(B3="","",INDEX(Lines!$B$2:$B$500,B3)&amp;"")</f>
        <v/>
      </c>
      <c r="E3" s="2">
        <f>IF(B3="","",INDEX(Lines!$C$2:$C$500,B3)&amp;"")</f>
        <v/>
      </c>
      <c r="F3" s="2">
        <f>IF(B3="","",INDEX(Lines!$D$2:$D$500,B3)&amp;"")</f>
        <v/>
      </c>
      <c r="G3" s="2">
        <f>IF(B3="","",INDEX(Lines!$F$2:$F$500,B3)&amp;"")</f>
        <v/>
      </c>
      <c r="H3" s="2">
        <f>IF(B3="","",INDEX(Lines!$R$2:$R$500,B3))</f>
        <v/>
      </c>
      <c r="I3" s="2">
        <f>IF(B3="","",INDEX(Lines!$S$2:$S$500,B3)&amp;"")</f>
        <v/>
      </c>
      <c r="J3" s="2">
        <f>IF(B3="","",INDEX(Lines!$T$2:$T$500,B3)&amp;"")</f>
        <v/>
      </c>
      <c r="K3" s="2">
        <f>IF(B3="","",INDEX(Lines!$U$2:$U$500,B3)&amp;"")</f>
        <v/>
      </c>
      <c r="L3" s="2">
        <f>IF(B3="","",INDEX(Lines!$V$2:$V$500,B3)&amp;"")</f>
        <v/>
      </c>
      <c r="M3" s="9">
        <f>IF(C3="","",SUMIFS(Lines!$N$2:$N$500,Lines!$E$2:$E$500,C3,Lines!$A$2:$A$500,"total",Lines!$X$2:$X$500,"LABOUR_ALL"))</f>
        <v/>
      </c>
      <c r="N3" s="9">
        <f>IF(C3="","",SUMIFS(Lines!$N$2:$N$500,Lines!$E$2:$E$500,C3,Lines!$A$2:$A$500,"line",Lines!$X$2:$X$500,"LABOUR_ALL"))</f>
        <v/>
      </c>
      <c r="O3" s="2">
        <f>IF(C3="","",IF(M3=0,"no stated total",IF(ABS(M3-N3)&gt;Settings!$B$2,"MISMATCH","ok")))</f>
        <v/>
      </c>
      <c r="P3" s="9">
        <f>IF(C3="","",SUMIFS(Lines!$N$2:$N$500,Lines!$E$2:$E$500,C3,Lines!$A$2:$A$500,"total",Lines!$O$2:$O$500,"INSTALL"))</f>
        <v/>
      </c>
      <c r="Q3" s="9">
        <f>IF(C3="","",SUMIFS(Lines!$N$2:$N$500,Lines!$E$2:$E$500,C3,Lines!$A$2:$A$500,"line",Lines!$O$2:$O$500,"INSTALL"))</f>
        <v/>
      </c>
      <c r="R3" s="2">
        <f>IF(C3="","",IF(P3=0,"no stated total",IF(ABS(P3-Q3)&gt;Settings!$B$2,"MISMATCH","ok")))</f>
        <v/>
      </c>
      <c r="S3" s="9">
        <f>IF(C3="","",SUMIFS(Lines!$N$2:$N$500,Lines!$E$2:$E$500,C3,Lines!$A$2:$A$500,"total",Lines!$O$2:$O$500,"PRODUCT"))</f>
        <v/>
      </c>
      <c r="T3" s="9">
        <f>IF(C3="","",SUMIFS(Lines!$N$2:$N$500,Lines!$E$2:$E$500,C3,Lines!$A$2:$A$500,"line",Lines!$O$2:$O$500,"PRODUCT"))</f>
        <v/>
      </c>
      <c r="U3" s="2">
        <f>IF(C3="","",IF(S3=0,"no stated total",IF(ABS(S3-T3)&gt;Settings!$B$2,"MISMATCH","ok")))</f>
        <v/>
      </c>
      <c r="V3" s="9">
        <f>IF(C3="","",SUMIFS(Lines!$N$2:$N$500,Lines!$E$2:$E$500,C3,Lines!$A$2:$A$500,"total",Lines!$O$2:$O$500,"ALLOWANCE"))</f>
        <v/>
      </c>
      <c r="W3" s="9">
        <f>IF(C3="","",SUMIFS(Lines!$N$2:$N$500,Lines!$E$2:$E$500,C3,Lines!$A$2:$A$500,"line",Lines!$O$2:$O$500,"ALLOWANCE"))</f>
        <v/>
      </c>
      <c r="X3" s="2">
        <f>IF(C3="","",IF(V3=0,"no stated total",IF(ABS(V3-W3)&gt;Settings!$B$2,"MISMATCH","ok")))</f>
        <v/>
      </c>
      <c r="Y3" s="9">
        <f>IF(C3="","",SUMIFS(Lines!$N$2:$N$500,Lines!$E$2:$E$500,C3,Lines!$A$2:$A$500,"total",Lines!$O$2:$O$500,"GRAND"))</f>
        <v/>
      </c>
      <c r="Z3" s="9">
        <f>IF(C3="","",SUMIFS(Lines!$N$2:$N$500,Lines!$E$2:$E$500,C3,Lines!$A$2:$A$500,"line"))</f>
        <v/>
      </c>
      <c r="AA3" s="2">
        <f>IF(C3="","",IF(Y3=0,"no stated total",IF(ABS(Y3-Z3)&gt;Settings!$B$2,"MISMATCH","ok")))</f>
        <v/>
      </c>
      <c r="AB3" s="2">
        <f>IF(C3="","",COUNTIFS(Lines!$E$2:$E$500,C3,Lines!$A$2:$A$500,"coverage"))</f>
        <v/>
      </c>
      <c r="AC3" s="2">
        <f>IF(C3="","",IF(LEN(IF(O3="MISMATCH","lines do not sum to stated total (LABOUR_ALL); ","")&amp;IF(R3="MISMATCH","lines do not sum to stated total (INSTALL); ","")&amp;IF(U3="MISMATCH","lines do not sum to stated total (PRODUCT); ","")&amp;IF(X3="MISMATCH","lines do not sum to stated total (ALLOWANCE); ","")&amp;IF(AA3="MISMATCH","lines do not sum to grand total; ","")&amp;IF(OR(I3="1-"&amp;H3,AND(H3=1,I3="1")),"","pages not read; ")&amp;IF(K3="N","extracted without mapping table; ","")&amp;IF(AB3&gt;1,"document extracted twice; ",""))&gt;2,LEFT(IF(O3="MISMATCH","lines do not sum to stated total (LABOUR_ALL); ","")&amp;IF(R3="MISMATCH","lines do not sum to stated total (INSTALL); ","")&amp;IF(U3="MISMATCH","lines do not sum to stated total (PRODUCT); ","")&amp;IF(X3="MISMATCH","lines do not sum to stated total (ALLOWANCE); ","")&amp;IF(AA3="MISMATCH","lines do not sum to grand total; ","")&amp;IF(OR(I3="1-"&amp;H3,AND(H3=1,I3="1")),"","pages not read; ")&amp;IF(K3="N","extracted without mapping table; ","")&amp;IF(AB3&gt;1,"document extracted twice; ",""),LEN(IF(O3="MISMATCH","lines do not sum to stated total (LABOUR_ALL); ","")&amp;IF(R3="MISMATCH","lines do not sum to stated total (INSTALL); ","")&amp;IF(U3="MISMATCH","lines do not sum to stated total (PRODUCT); ","")&amp;IF(X3="MISMATCH","lines do not sum to stated total (ALLOWANCE); ","")&amp;IF(AA3="MISMATCH","lines do not sum to grand total; ","")&amp;IF(OR(I3="1-"&amp;H3,AND(H3=1,I3="1")),"","pages not read; ")&amp;IF(K3="N","extracted without mapping table; ","")&amp;IF(AB3&gt;1,"document extracted twice; ",""))-2),""))</f>
        <v/>
      </c>
      <c r="AD3" s="2">
        <f>IF(AC3&lt;&gt;"",MAX($AD$1:AD2)+1,"")</f>
        <v/>
      </c>
    </row>
    <row r="4">
      <c r="A4" s="2" t="n">
        <v>3</v>
      </c>
      <c r="B4" s="2">
        <f>IFERROR(MATCH(A4,Lines!$AF$2:$AF$500,0),"")</f>
        <v/>
      </c>
      <c r="C4" s="2">
        <f>IF(B4="","",INDEX(Lines!$E$2:$E$500,B4)&amp;"")</f>
        <v/>
      </c>
      <c r="D4" s="2">
        <f>IF(B4="","",INDEX(Lines!$B$2:$B$500,B4)&amp;"")</f>
        <v/>
      </c>
      <c r="E4" s="2">
        <f>IF(B4="","",INDEX(Lines!$C$2:$C$500,B4)&amp;"")</f>
        <v/>
      </c>
      <c r="F4" s="2">
        <f>IF(B4="","",INDEX(Lines!$D$2:$D$500,B4)&amp;"")</f>
        <v/>
      </c>
      <c r="G4" s="2">
        <f>IF(B4="","",INDEX(Lines!$F$2:$F$500,B4)&amp;"")</f>
        <v/>
      </c>
      <c r="H4" s="2">
        <f>IF(B4="","",INDEX(Lines!$R$2:$R$500,B4))</f>
        <v/>
      </c>
      <c r="I4" s="2">
        <f>IF(B4="","",INDEX(Lines!$S$2:$S$500,B4)&amp;"")</f>
        <v/>
      </c>
      <c r="J4" s="2">
        <f>IF(B4="","",INDEX(Lines!$T$2:$T$500,B4)&amp;"")</f>
        <v/>
      </c>
      <c r="K4" s="2">
        <f>IF(B4="","",INDEX(Lines!$U$2:$U$500,B4)&amp;"")</f>
        <v/>
      </c>
      <c r="L4" s="2">
        <f>IF(B4="","",INDEX(Lines!$V$2:$V$500,B4)&amp;"")</f>
        <v/>
      </c>
      <c r="M4" s="9">
        <f>IF(C4="","",SUMIFS(Lines!$N$2:$N$500,Lines!$E$2:$E$500,C4,Lines!$A$2:$A$500,"total",Lines!$X$2:$X$500,"LABOUR_ALL"))</f>
        <v/>
      </c>
      <c r="N4" s="9">
        <f>IF(C4="","",SUMIFS(Lines!$N$2:$N$500,Lines!$E$2:$E$500,C4,Lines!$A$2:$A$500,"line",Lines!$X$2:$X$500,"LABOUR_ALL"))</f>
        <v/>
      </c>
      <c r="O4" s="2">
        <f>IF(C4="","",IF(M4=0,"no stated total",IF(ABS(M4-N4)&gt;Settings!$B$2,"MISMATCH","ok")))</f>
        <v/>
      </c>
      <c r="P4" s="9">
        <f>IF(C4="","",SUMIFS(Lines!$N$2:$N$500,Lines!$E$2:$E$500,C4,Lines!$A$2:$A$500,"total",Lines!$O$2:$O$500,"INSTALL"))</f>
        <v/>
      </c>
      <c r="Q4" s="9">
        <f>IF(C4="","",SUMIFS(Lines!$N$2:$N$500,Lines!$E$2:$E$500,C4,Lines!$A$2:$A$500,"line",Lines!$O$2:$O$500,"INSTALL"))</f>
        <v/>
      </c>
      <c r="R4" s="2">
        <f>IF(C4="","",IF(P4=0,"no stated total",IF(ABS(P4-Q4)&gt;Settings!$B$2,"MISMATCH","ok")))</f>
        <v/>
      </c>
      <c r="S4" s="9">
        <f>IF(C4="","",SUMIFS(Lines!$N$2:$N$500,Lines!$E$2:$E$500,C4,Lines!$A$2:$A$500,"total",Lines!$O$2:$O$500,"PRODUCT"))</f>
        <v/>
      </c>
      <c r="T4" s="9">
        <f>IF(C4="","",SUMIFS(Lines!$N$2:$N$500,Lines!$E$2:$E$500,C4,Lines!$A$2:$A$500,"line",Lines!$O$2:$O$500,"PRODUCT"))</f>
        <v/>
      </c>
      <c r="U4" s="2">
        <f>IF(C4="","",IF(S4=0,"no stated total",IF(ABS(S4-T4)&gt;Settings!$B$2,"MISMATCH","ok")))</f>
        <v/>
      </c>
      <c r="V4" s="9">
        <f>IF(C4="","",SUMIFS(Lines!$N$2:$N$500,Lines!$E$2:$E$500,C4,Lines!$A$2:$A$500,"total",Lines!$O$2:$O$500,"ALLOWANCE"))</f>
        <v/>
      </c>
      <c r="W4" s="9">
        <f>IF(C4="","",SUMIFS(Lines!$N$2:$N$500,Lines!$E$2:$E$500,C4,Lines!$A$2:$A$500,"line",Lines!$O$2:$O$500,"ALLOWANCE"))</f>
        <v/>
      </c>
      <c r="X4" s="2">
        <f>IF(C4="","",IF(V4=0,"no stated total",IF(ABS(V4-W4)&gt;Settings!$B$2,"MISMATCH","ok")))</f>
        <v/>
      </c>
      <c r="Y4" s="9">
        <f>IF(C4="","",SUMIFS(Lines!$N$2:$N$500,Lines!$E$2:$E$500,C4,Lines!$A$2:$A$500,"total",Lines!$O$2:$O$500,"GRAND"))</f>
        <v/>
      </c>
      <c r="Z4" s="9">
        <f>IF(C4="","",SUMIFS(Lines!$N$2:$N$500,Lines!$E$2:$E$500,C4,Lines!$A$2:$A$500,"line"))</f>
        <v/>
      </c>
      <c r="AA4" s="2">
        <f>IF(C4="","",IF(Y4=0,"no stated total",IF(ABS(Y4-Z4)&gt;Settings!$B$2,"MISMATCH","ok")))</f>
        <v/>
      </c>
      <c r="AB4" s="2">
        <f>IF(C4="","",COUNTIFS(Lines!$E$2:$E$500,C4,Lines!$A$2:$A$500,"coverage"))</f>
        <v/>
      </c>
      <c r="AC4" s="2">
        <f>IF(C4="","",IF(LEN(IF(O4="MISMATCH","lines do not sum to stated total (LABOUR_ALL); ","")&amp;IF(R4="MISMATCH","lines do not sum to stated total (INSTALL); ","")&amp;IF(U4="MISMATCH","lines do not sum to stated total (PRODUCT); ","")&amp;IF(X4="MISMATCH","lines do not sum to stated total (ALLOWANCE); ","")&amp;IF(AA4="MISMATCH","lines do not sum to grand total; ","")&amp;IF(OR(I4="1-"&amp;H4,AND(H4=1,I4="1")),"","pages not read; ")&amp;IF(K4="N","extracted without mapping table; ","")&amp;IF(AB4&gt;1,"document extracted twice; ",""))&gt;2,LEFT(IF(O4="MISMATCH","lines do not sum to stated total (LABOUR_ALL); ","")&amp;IF(R4="MISMATCH","lines do not sum to stated total (INSTALL); ","")&amp;IF(U4="MISMATCH","lines do not sum to stated total (PRODUCT); ","")&amp;IF(X4="MISMATCH","lines do not sum to stated total (ALLOWANCE); ","")&amp;IF(AA4="MISMATCH","lines do not sum to grand total; ","")&amp;IF(OR(I4="1-"&amp;H4,AND(H4=1,I4="1")),"","pages not read; ")&amp;IF(K4="N","extracted without mapping table; ","")&amp;IF(AB4&gt;1,"document extracted twice; ",""),LEN(IF(O4="MISMATCH","lines do not sum to stated total (LABOUR_ALL); ","")&amp;IF(R4="MISMATCH","lines do not sum to stated total (INSTALL); ","")&amp;IF(U4="MISMATCH","lines do not sum to stated total (PRODUCT); ","")&amp;IF(X4="MISMATCH","lines do not sum to stated total (ALLOWANCE); ","")&amp;IF(AA4="MISMATCH","lines do not sum to grand total; ","")&amp;IF(OR(I4="1-"&amp;H4,AND(H4=1,I4="1")),"","pages not read; ")&amp;IF(K4="N","extracted without mapping table; ","")&amp;IF(AB4&gt;1,"document extracted twice; ",""))-2),""))</f>
        <v/>
      </c>
      <c r="AD4" s="2">
        <f>IF(AC4&lt;&gt;"",MAX($AD$1:AD3)+1,"")</f>
        <v/>
      </c>
    </row>
    <row r="5">
      <c r="A5" s="2" t="n">
        <v>4</v>
      </c>
      <c r="B5" s="2">
        <f>IFERROR(MATCH(A5,Lines!$AF$2:$AF$500,0),"")</f>
        <v/>
      </c>
      <c r="C5" s="2">
        <f>IF(B5="","",INDEX(Lines!$E$2:$E$500,B5)&amp;"")</f>
        <v/>
      </c>
      <c r="D5" s="2">
        <f>IF(B5="","",INDEX(Lines!$B$2:$B$500,B5)&amp;"")</f>
        <v/>
      </c>
      <c r="E5" s="2">
        <f>IF(B5="","",INDEX(Lines!$C$2:$C$500,B5)&amp;"")</f>
        <v/>
      </c>
      <c r="F5" s="2">
        <f>IF(B5="","",INDEX(Lines!$D$2:$D$500,B5)&amp;"")</f>
        <v/>
      </c>
      <c r="G5" s="2">
        <f>IF(B5="","",INDEX(Lines!$F$2:$F$500,B5)&amp;"")</f>
        <v/>
      </c>
      <c r="H5" s="2">
        <f>IF(B5="","",INDEX(Lines!$R$2:$R$500,B5))</f>
        <v/>
      </c>
      <c r="I5" s="2">
        <f>IF(B5="","",INDEX(Lines!$S$2:$S$500,B5)&amp;"")</f>
        <v/>
      </c>
      <c r="J5" s="2">
        <f>IF(B5="","",INDEX(Lines!$T$2:$T$500,B5)&amp;"")</f>
        <v/>
      </c>
      <c r="K5" s="2">
        <f>IF(B5="","",INDEX(Lines!$U$2:$U$500,B5)&amp;"")</f>
        <v/>
      </c>
      <c r="L5" s="2">
        <f>IF(B5="","",INDEX(Lines!$V$2:$V$500,B5)&amp;"")</f>
        <v/>
      </c>
      <c r="M5" s="9">
        <f>IF(C5="","",SUMIFS(Lines!$N$2:$N$500,Lines!$E$2:$E$500,C5,Lines!$A$2:$A$500,"total",Lines!$X$2:$X$500,"LABOUR_ALL"))</f>
        <v/>
      </c>
      <c r="N5" s="9">
        <f>IF(C5="","",SUMIFS(Lines!$N$2:$N$500,Lines!$E$2:$E$500,C5,Lines!$A$2:$A$500,"line",Lines!$X$2:$X$500,"LABOUR_ALL"))</f>
        <v/>
      </c>
      <c r="O5" s="2">
        <f>IF(C5="","",IF(M5=0,"no stated total",IF(ABS(M5-N5)&gt;Settings!$B$2,"MISMATCH","ok")))</f>
        <v/>
      </c>
      <c r="P5" s="9">
        <f>IF(C5="","",SUMIFS(Lines!$N$2:$N$500,Lines!$E$2:$E$500,C5,Lines!$A$2:$A$500,"total",Lines!$O$2:$O$500,"INSTALL"))</f>
        <v/>
      </c>
      <c r="Q5" s="9">
        <f>IF(C5="","",SUMIFS(Lines!$N$2:$N$500,Lines!$E$2:$E$500,C5,Lines!$A$2:$A$500,"line",Lines!$O$2:$O$500,"INSTALL"))</f>
        <v/>
      </c>
      <c r="R5" s="2">
        <f>IF(C5="","",IF(P5=0,"no stated total",IF(ABS(P5-Q5)&gt;Settings!$B$2,"MISMATCH","ok")))</f>
        <v/>
      </c>
      <c r="S5" s="9">
        <f>IF(C5="","",SUMIFS(Lines!$N$2:$N$500,Lines!$E$2:$E$500,C5,Lines!$A$2:$A$500,"total",Lines!$O$2:$O$500,"PRODUCT"))</f>
        <v/>
      </c>
      <c r="T5" s="9">
        <f>IF(C5="","",SUMIFS(Lines!$N$2:$N$500,Lines!$E$2:$E$500,C5,Lines!$A$2:$A$500,"line",Lines!$O$2:$O$500,"PRODUCT"))</f>
        <v/>
      </c>
      <c r="U5" s="2">
        <f>IF(C5="","",IF(S5=0,"no stated total",IF(ABS(S5-T5)&gt;Settings!$B$2,"MISMATCH","ok")))</f>
        <v/>
      </c>
      <c r="V5" s="9">
        <f>IF(C5="","",SUMIFS(Lines!$N$2:$N$500,Lines!$E$2:$E$500,C5,Lines!$A$2:$A$500,"total",Lines!$O$2:$O$500,"ALLOWANCE"))</f>
        <v/>
      </c>
      <c r="W5" s="9">
        <f>IF(C5="","",SUMIFS(Lines!$N$2:$N$500,Lines!$E$2:$E$500,C5,Lines!$A$2:$A$500,"line",Lines!$O$2:$O$500,"ALLOWANCE"))</f>
        <v/>
      </c>
      <c r="X5" s="2">
        <f>IF(C5="","",IF(V5=0,"no stated total",IF(ABS(V5-W5)&gt;Settings!$B$2,"MISMATCH","ok")))</f>
        <v/>
      </c>
      <c r="Y5" s="9">
        <f>IF(C5="","",SUMIFS(Lines!$N$2:$N$500,Lines!$E$2:$E$500,C5,Lines!$A$2:$A$500,"total",Lines!$O$2:$O$500,"GRAND"))</f>
        <v/>
      </c>
      <c r="Z5" s="9">
        <f>IF(C5="","",SUMIFS(Lines!$N$2:$N$500,Lines!$E$2:$E$500,C5,Lines!$A$2:$A$500,"line"))</f>
        <v/>
      </c>
      <c r="AA5" s="2">
        <f>IF(C5="","",IF(Y5=0,"no stated total",IF(ABS(Y5-Z5)&gt;Settings!$B$2,"MISMATCH","ok")))</f>
        <v/>
      </c>
      <c r="AB5" s="2">
        <f>IF(C5="","",COUNTIFS(Lines!$E$2:$E$500,C5,Lines!$A$2:$A$500,"coverage"))</f>
        <v/>
      </c>
      <c r="AC5" s="2">
        <f>IF(C5="","",IF(LEN(IF(O5="MISMATCH","lines do not sum to stated total (LABOUR_ALL); ","")&amp;IF(R5="MISMATCH","lines do not sum to stated total (INSTALL); ","")&amp;IF(U5="MISMATCH","lines do not sum to stated total (PRODUCT); ","")&amp;IF(X5="MISMATCH","lines do not sum to stated total (ALLOWANCE); ","")&amp;IF(AA5="MISMATCH","lines do not sum to grand total; ","")&amp;IF(OR(I5="1-"&amp;H5,AND(H5=1,I5="1")),"","pages not read; ")&amp;IF(K5="N","extracted without mapping table; ","")&amp;IF(AB5&gt;1,"document extracted twice; ",""))&gt;2,LEFT(IF(O5="MISMATCH","lines do not sum to stated total (LABOUR_ALL); ","")&amp;IF(R5="MISMATCH","lines do not sum to stated total (INSTALL); ","")&amp;IF(U5="MISMATCH","lines do not sum to stated total (PRODUCT); ","")&amp;IF(X5="MISMATCH","lines do not sum to stated total (ALLOWANCE); ","")&amp;IF(AA5="MISMATCH","lines do not sum to grand total; ","")&amp;IF(OR(I5="1-"&amp;H5,AND(H5=1,I5="1")),"","pages not read; ")&amp;IF(K5="N","extracted without mapping table; ","")&amp;IF(AB5&gt;1,"document extracted twice; ",""),LEN(IF(O5="MISMATCH","lines do not sum to stated total (LABOUR_ALL); ","")&amp;IF(R5="MISMATCH","lines do not sum to stated total (INSTALL); ","")&amp;IF(U5="MISMATCH","lines do not sum to stated total (PRODUCT); ","")&amp;IF(X5="MISMATCH","lines do not sum to stated total (ALLOWANCE); ","")&amp;IF(AA5="MISMATCH","lines do not sum to grand total; ","")&amp;IF(OR(I5="1-"&amp;H5,AND(H5=1,I5="1")),"","pages not read; ")&amp;IF(K5="N","extracted without mapping table; ","")&amp;IF(AB5&gt;1,"document extracted twice; ",""))-2),""))</f>
        <v/>
      </c>
      <c r="AD5" s="2">
        <f>IF(AC5&lt;&gt;"",MAX($AD$1:AD4)+1,"")</f>
        <v/>
      </c>
    </row>
    <row r="6">
      <c r="A6" s="2" t="n">
        <v>5</v>
      </c>
      <c r="B6" s="2">
        <f>IFERROR(MATCH(A6,Lines!$AF$2:$AF$500,0),"")</f>
        <v/>
      </c>
      <c r="C6" s="2">
        <f>IF(B6="","",INDEX(Lines!$E$2:$E$500,B6)&amp;"")</f>
        <v/>
      </c>
      <c r="D6" s="2">
        <f>IF(B6="","",INDEX(Lines!$B$2:$B$500,B6)&amp;"")</f>
        <v/>
      </c>
      <c r="E6" s="2">
        <f>IF(B6="","",INDEX(Lines!$C$2:$C$500,B6)&amp;"")</f>
        <v/>
      </c>
      <c r="F6" s="2">
        <f>IF(B6="","",INDEX(Lines!$D$2:$D$500,B6)&amp;"")</f>
        <v/>
      </c>
      <c r="G6" s="2">
        <f>IF(B6="","",INDEX(Lines!$F$2:$F$500,B6)&amp;"")</f>
        <v/>
      </c>
      <c r="H6" s="2">
        <f>IF(B6="","",INDEX(Lines!$R$2:$R$500,B6))</f>
        <v/>
      </c>
      <c r="I6" s="2">
        <f>IF(B6="","",INDEX(Lines!$S$2:$S$500,B6)&amp;"")</f>
        <v/>
      </c>
      <c r="J6" s="2">
        <f>IF(B6="","",INDEX(Lines!$T$2:$T$500,B6)&amp;"")</f>
        <v/>
      </c>
      <c r="K6" s="2">
        <f>IF(B6="","",INDEX(Lines!$U$2:$U$500,B6)&amp;"")</f>
        <v/>
      </c>
      <c r="L6" s="2">
        <f>IF(B6="","",INDEX(Lines!$V$2:$V$500,B6)&amp;"")</f>
        <v/>
      </c>
      <c r="M6" s="9">
        <f>IF(C6="","",SUMIFS(Lines!$N$2:$N$500,Lines!$E$2:$E$500,C6,Lines!$A$2:$A$500,"total",Lines!$X$2:$X$500,"LABOUR_ALL"))</f>
        <v/>
      </c>
      <c r="N6" s="9">
        <f>IF(C6="","",SUMIFS(Lines!$N$2:$N$500,Lines!$E$2:$E$500,C6,Lines!$A$2:$A$500,"line",Lines!$X$2:$X$500,"LABOUR_ALL"))</f>
        <v/>
      </c>
      <c r="O6" s="2">
        <f>IF(C6="","",IF(M6=0,"no stated total",IF(ABS(M6-N6)&gt;Settings!$B$2,"MISMATCH","ok")))</f>
        <v/>
      </c>
      <c r="P6" s="9">
        <f>IF(C6="","",SUMIFS(Lines!$N$2:$N$500,Lines!$E$2:$E$500,C6,Lines!$A$2:$A$500,"total",Lines!$O$2:$O$500,"INSTALL"))</f>
        <v/>
      </c>
      <c r="Q6" s="9">
        <f>IF(C6="","",SUMIFS(Lines!$N$2:$N$500,Lines!$E$2:$E$500,C6,Lines!$A$2:$A$500,"line",Lines!$O$2:$O$500,"INSTALL"))</f>
        <v/>
      </c>
      <c r="R6" s="2">
        <f>IF(C6="","",IF(P6=0,"no stated total",IF(ABS(P6-Q6)&gt;Settings!$B$2,"MISMATCH","ok")))</f>
        <v/>
      </c>
      <c r="S6" s="9">
        <f>IF(C6="","",SUMIFS(Lines!$N$2:$N$500,Lines!$E$2:$E$500,C6,Lines!$A$2:$A$500,"total",Lines!$O$2:$O$500,"PRODUCT"))</f>
        <v/>
      </c>
      <c r="T6" s="9">
        <f>IF(C6="","",SUMIFS(Lines!$N$2:$N$500,Lines!$E$2:$E$500,C6,Lines!$A$2:$A$500,"line",Lines!$O$2:$O$500,"PRODUCT"))</f>
        <v/>
      </c>
      <c r="U6" s="2">
        <f>IF(C6="","",IF(S6=0,"no stated total",IF(ABS(S6-T6)&gt;Settings!$B$2,"MISMATCH","ok")))</f>
        <v/>
      </c>
      <c r="V6" s="9">
        <f>IF(C6="","",SUMIFS(Lines!$N$2:$N$500,Lines!$E$2:$E$500,C6,Lines!$A$2:$A$500,"total",Lines!$O$2:$O$500,"ALLOWANCE"))</f>
        <v/>
      </c>
      <c r="W6" s="9">
        <f>IF(C6="","",SUMIFS(Lines!$N$2:$N$500,Lines!$E$2:$E$500,C6,Lines!$A$2:$A$500,"line",Lines!$O$2:$O$500,"ALLOWANCE"))</f>
        <v/>
      </c>
      <c r="X6" s="2">
        <f>IF(C6="","",IF(V6=0,"no stated total",IF(ABS(V6-W6)&gt;Settings!$B$2,"MISMATCH","ok")))</f>
        <v/>
      </c>
      <c r="Y6" s="9">
        <f>IF(C6="","",SUMIFS(Lines!$N$2:$N$500,Lines!$E$2:$E$500,C6,Lines!$A$2:$A$500,"total",Lines!$O$2:$O$500,"GRAND"))</f>
        <v/>
      </c>
      <c r="Z6" s="9">
        <f>IF(C6="","",SUMIFS(Lines!$N$2:$N$500,Lines!$E$2:$E$500,C6,Lines!$A$2:$A$500,"line"))</f>
        <v/>
      </c>
      <c r="AA6" s="2">
        <f>IF(C6="","",IF(Y6=0,"no stated total",IF(ABS(Y6-Z6)&gt;Settings!$B$2,"MISMATCH","ok")))</f>
        <v/>
      </c>
      <c r="AB6" s="2">
        <f>IF(C6="","",COUNTIFS(Lines!$E$2:$E$500,C6,Lines!$A$2:$A$500,"coverage"))</f>
        <v/>
      </c>
      <c r="AC6" s="2">
        <f>IF(C6="","",IF(LEN(IF(O6="MISMATCH","lines do not sum to stated total (LABOUR_ALL); ","")&amp;IF(R6="MISMATCH","lines do not sum to stated total (INSTALL); ","")&amp;IF(U6="MISMATCH","lines do not sum to stated total (PRODUCT); ","")&amp;IF(X6="MISMATCH","lines do not sum to stated total (ALLOWANCE); ","")&amp;IF(AA6="MISMATCH","lines do not sum to grand total; ","")&amp;IF(OR(I6="1-"&amp;H6,AND(H6=1,I6="1")),"","pages not read; ")&amp;IF(K6="N","extracted without mapping table; ","")&amp;IF(AB6&gt;1,"document extracted twice; ",""))&gt;2,LEFT(IF(O6="MISMATCH","lines do not sum to stated total (LABOUR_ALL); ","")&amp;IF(R6="MISMATCH","lines do not sum to stated total (INSTALL); ","")&amp;IF(U6="MISMATCH","lines do not sum to stated total (PRODUCT); ","")&amp;IF(X6="MISMATCH","lines do not sum to stated total (ALLOWANCE); ","")&amp;IF(AA6="MISMATCH","lines do not sum to grand total; ","")&amp;IF(OR(I6="1-"&amp;H6,AND(H6=1,I6="1")),"","pages not read; ")&amp;IF(K6="N","extracted without mapping table; ","")&amp;IF(AB6&gt;1,"document extracted twice; ",""),LEN(IF(O6="MISMATCH","lines do not sum to stated total (LABOUR_ALL); ","")&amp;IF(R6="MISMATCH","lines do not sum to stated total (INSTALL); ","")&amp;IF(U6="MISMATCH","lines do not sum to stated total (PRODUCT); ","")&amp;IF(X6="MISMATCH","lines do not sum to stated total (ALLOWANCE); ","")&amp;IF(AA6="MISMATCH","lines do not sum to grand total; ","")&amp;IF(OR(I6="1-"&amp;H6,AND(H6=1,I6="1")),"","pages not read; ")&amp;IF(K6="N","extracted without mapping table; ","")&amp;IF(AB6&gt;1,"document extracted twice; ",""))-2),""))</f>
        <v/>
      </c>
      <c r="AD6" s="2">
        <f>IF(AC6&lt;&gt;"",MAX($AD$1:AD5)+1,"")</f>
        <v/>
      </c>
    </row>
    <row r="7">
      <c r="A7" s="2" t="n">
        <v>6</v>
      </c>
      <c r="B7" s="2">
        <f>IFERROR(MATCH(A7,Lines!$AF$2:$AF$500,0),"")</f>
        <v/>
      </c>
      <c r="C7" s="2">
        <f>IF(B7="","",INDEX(Lines!$E$2:$E$500,B7)&amp;"")</f>
        <v/>
      </c>
      <c r="D7" s="2">
        <f>IF(B7="","",INDEX(Lines!$B$2:$B$500,B7)&amp;"")</f>
        <v/>
      </c>
      <c r="E7" s="2">
        <f>IF(B7="","",INDEX(Lines!$C$2:$C$500,B7)&amp;"")</f>
        <v/>
      </c>
      <c r="F7" s="2">
        <f>IF(B7="","",INDEX(Lines!$D$2:$D$500,B7)&amp;"")</f>
        <v/>
      </c>
      <c r="G7" s="2">
        <f>IF(B7="","",INDEX(Lines!$F$2:$F$500,B7)&amp;"")</f>
        <v/>
      </c>
      <c r="H7" s="2">
        <f>IF(B7="","",INDEX(Lines!$R$2:$R$500,B7))</f>
        <v/>
      </c>
      <c r="I7" s="2">
        <f>IF(B7="","",INDEX(Lines!$S$2:$S$500,B7)&amp;"")</f>
        <v/>
      </c>
      <c r="J7" s="2">
        <f>IF(B7="","",INDEX(Lines!$T$2:$T$500,B7)&amp;"")</f>
        <v/>
      </c>
      <c r="K7" s="2">
        <f>IF(B7="","",INDEX(Lines!$U$2:$U$500,B7)&amp;"")</f>
        <v/>
      </c>
      <c r="L7" s="2">
        <f>IF(B7="","",INDEX(Lines!$V$2:$V$500,B7)&amp;"")</f>
        <v/>
      </c>
      <c r="M7" s="9">
        <f>IF(C7="","",SUMIFS(Lines!$N$2:$N$500,Lines!$E$2:$E$500,C7,Lines!$A$2:$A$500,"total",Lines!$X$2:$X$500,"LABOUR_ALL"))</f>
        <v/>
      </c>
      <c r="N7" s="9">
        <f>IF(C7="","",SUMIFS(Lines!$N$2:$N$500,Lines!$E$2:$E$500,C7,Lines!$A$2:$A$500,"line",Lines!$X$2:$X$500,"LABOUR_ALL"))</f>
        <v/>
      </c>
      <c r="O7" s="2">
        <f>IF(C7="","",IF(M7=0,"no stated total",IF(ABS(M7-N7)&gt;Settings!$B$2,"MISMATCH","ok")))</f>
        <v/>
      </c>
      <c r="P7" s="9">
        <f>IF(C7="","",SUMIFS(Lines!$N$2:$N$500,Lines!$E$2:$E$500,C7,Lines!$A$2:$A$500,"total",Lines!$O$2:$O$500,"INSTALL"))</f>
        <v/>
      </c>
      <c r="Q7" s="9">
        <f>IF(C7="","",SUMIFS(Lines!$N$2:$N$500,Lines!$E$2:$E$500,C7,Lines!$A$2:$A$500,"line",Lines!$O$2:$O$500,"INSTALL"))</f>
        <v/>
      </c>
      <c r="R7" s="2">
        <f>IF(C7="","",IF(P7=0,"no stated total",IF(ABS(P7-Q7)&gt;Settings!$B$2,"MISMATCH","ok")))</f>
        <v/>
      </c>
      <c r="S7" s="9">
        <f>IF(C7="","",SUMIFS(Lines!$N$2:$N$500,Lines!$E$2:$E$500,C7,Lines!$A$2:$A$500,"total",Lines!$O$2:$O$500,"PRODUCT"))</f>
        <v/>
      </c>
      <c r="T7" s="9">
        <f>IF(C7="","",SUMIFS(Lines!$N$2:$N$500,Lines!$E$2:$E$500,C7,Lines!$A$2:$A$500,"line",Lines!$O$2:$O$500,"PRODUCT"))</f>
        <v/>
      </c>
      <c r="U7" s="2">
        <f>IF(C7="","",IF(S7=0,"no stated total",IF(ABS(S7-T7)&gt;Settings!$B$2,"MISMATCH","ok")))</f>
        <v/>
      </c>
      <c r="V7" s="9">
        <f>IF(C7="","",SUMIFS(Lines!$N$2:$N$500,Lines!$E$2:$E$500,C7,Lines!$A$2:$A$500,"total",Lines!$O$2:$O$500,"ALLOWANCE"))</f>
        <v/>
      </c>
      <c r="W7" s="9">
        <f>IF(C7="","",SUMIFS(Lines!$N$2:$N$500,Lines!$E$2:$E$500,C7,Lines!$A$2:$A$500,"line",Lines!$O$2:$O$500,"ALLOWANCE"))</f>
        <v/>
      </c>
      <c r="X7" s="2">
        <f>IF(C7="","",IF(V7=0,"no stated total",IF(ABS(V7-W7)&gt;Settings!$B$2,"MISMATCH","ok")))</f>
        <v/>
      </c>
      <c r="Y7" s="9">
        <f>IF(C7="","",SUMIFS(Lines!$N$2:$N$500,Lines!$E$2:$E$500,C7,Lines!$A$2:$A$500,"total",Lines!$O$2:$O$500,"GRAND"))</f>
        <v/>
      </c>
      <c r="Z7" s="9">
        <f>IF(C7="","",SUMIFS(Lines!$N$2:$N$500,Lines!$E$2:$E$500,C7,Lines!$A$2:$A$500,"line"))</f>
        <v/>
      </c>
      <c r="AA7" s="2">
        <f>IF(C7="","",IF(Y7=0,"no stated total",IF(ABS(Y7-Z7)&gt;Settings!$B$2,"MISMATCH","ok")))</f>
        <v/>
      </c>
      <c r="AB7" s="2">
        <f>IF(C7="","",COUNTIFS(Lines!$E$2:$E$500,C7,Lines!$A$2:$A$500,"coverage"))</f>
        <v/>
      </c>
      <c r="AC7" s="2">
        <f>IF(C7="","",IF(LEN(IF(O7="MISMATCH","lines do not sum to stated total (LABOUR_ALL); ","")&amp;IF(R7="MISMATCH","lines do not sum to stated total (INSTALL); ","")&amp;IF(U7="MISMATCH","lines do not sum to stated total (PRODUCT); ","")&amp;IF(X7="MISMATCH","lines do not sum to stated total (ALLOWANCE); ","")&amp;IF(AA7="MISMATCH","lines do not sum to grand total; ","")&amp;IF(OR(I7="1-"&amp;H7,AND(H7=1,I7="1")),"","pages not read; ")&amp;IF(K7="N","extracted without mapping table; ","")&amp;IF(AB7&gt;1,"document extracted twice; ",""))&gt;2,LEFT(IF(O7="MISMATCH","lines do not sum to stated total (LABOUR_ALL); ","")&amp;IF(R7="MISMATCH","lines do not sum to stated total (INSTALL); ","")&amp;IF(U7="MISMATCH","lines do not sum to stated total (PRODUCT); ","")&amp;IF(X7="MISMATCH","lines do not sum to stated total (ALLOWANCE); ","")&amp;IF(AA7="MISMATCH","lines do not sum to grand total; ","")&amp;IF(OR(I7="1-"&amp;H7,AND(H7=1,I7="1")),"","pages not read; ")&amp;IF(K7="N","extracted without mapping table; ","")&amp;IF(AB7&gt;1,"document extracted twice; ",""),LEN(IF(O7="MISMATCH","lines do not sum to stated total (LABOUR_ALL); ","")&amp;IF(R7="MISMATCH","lines do not sum to stated total (INSTALL); ","")&amp;IF(U7="MISMATCH","lines do not sum to stated total (PRODUCT); ","")&amp;IF(X7="MISMATCH","lines do not sum to stated total (ALLOWANCE); ","")&amp;IF(AA7="MISMATCH","lines do not sum to grand total; ","")&amp;IF(OR(I7="1-"&amp;H7,AND(H7=1,I7="1")),"","pages not read; ")&amp;IF(K7="N","extracted without mapping table; ","")&amp;IF(AB7&gt;1,"document extracted twice; ",""))-2),""))</f>
        <v/>
      </c>
      <c r="AD7" s="2">
        <f>IF(AC7&lt;&gt;"",MAX($AD$1:AD6)+1,"")</f>
        <v/>
      </c>
    </row>
    <row r="8">
      <c r="A8" s="2" t="n">
        <v>7</v>
      </c>
      <c r="B8" s="2">
        <f>IFERROR(MATCH(A8,Lines!$AF$2:$AF$500,0),"")</f>
        <v/>
      </c>
      <c r="C8" s="2">
        <f>IF(B8="","",INDEX(Lines!$E$2:$E$500,B8)&amp;"")</f>
        <v/>
      </c>
      <c r="D8" s="2">
        <f>IF(B8="","",INDEX(Lines!$B$2:$B$500,B8)&amp;"")</f>
        <v/>
      </c>
      <c r="E8" s="2">
        <f>IF(B8="","",INDEX(Lines!$C$2:$C$500,B8)&amp;"")</f>
        <v/>
      </c>
      <c r="F8" s="2">
        <f>IF(B8="","",INDEX(Lines!$D$2:$D$500,B8)&amp;"")</f>
        <v/>
      </c>
      <c r="G8" s="2">
        <f>IF(B8="","",INDEX(Lines!$F$2:$F$500,B8)&amp;"")</f>
        <v/>
      </c>
      <c r="H8" s="2">
        <f>IF(B8="","",INDEX(Lines!$R$2:$R$500,B8))</f>
        <v/>
      </c>
      <c r="I8" s="2">
        <f>IF(B8="","",INDEX(Lines!$S$2:$S$500,B8)&amp;"")</f>
        <v/>
      </c>
      <c r="J8" s="2">
        <f>IF(B8="","",INDEX(Lines!$T$2:$T$500,B8)&amp;"")</f>
        <v/>
      </c>
      <c r="K8" s="2">
        <f>IF(B8="","",INDEX(Lines!$U$2:$U$500,B8)&amp;"")</f>
        <v/>
      </c>
      <c r="L8" s="2">
        <f>IF(B8="","",INDEX(Lines!$V$2:$V$500,B8)&amp;"")</f>
        <v/>
      </c>
      <c r="M8" s="9">
        <f>IF(C8="","",SUMIFS(Lines!$N$2:$N$500,Lines!$E$2:$E$500,C8,Lines!$A$2:$A$500,"total",Lines!$X$2:$X$500,"LABOUR_ALL"))</f>
        <v/>
      </c>
      <c r="N8" s="9">
        <f>IF(C8="","",SUMIFS(Lines!$N$2:$N$500,Lines!$E$2:$E$500,C8,Lines!$A$2:$A$500,"line",Lines!$X$2:$X$500,"LABOUR_ALL"))</f>
        <v/>
      </c>
      <c r="O8" s="2">
        <f>IF(C8="","",IF(M8=0,"no stated total",IF(ABS(M8-N8)&gt;Settings!$B$2,"MISMATCH","ok")))</f>
        <v/>
      </c>
      <c r="P8" s="9">
        <f>IF(C8="","",SUMIFS(Lines!$N$2:$N$500,Lines!$E$2:$E$500,C8,Lines!$A$2:$A$500,"total",Lines!$O$2:$O$500,"INSTALL"))</f>
        <v/>
      </c>
      <c r="Q8" s="9">
        <f>IF(C8="","",SUMIFS(Lines!$N$2:$N$500,Lines!$E$2:$E$500,C8,Lines!$A$2:$A$500,"line",Lines!$O$2:$O$500,"INSTALL"))</f>
        <v/>
      </c>
      <c r="R8" s="2">
        <f>IF(C8="","",IF(P8=0,"no stated total",IF(ABS(P8-Q8)&gt;Settings!$B$2,"MISMATCH","ok")))</f>
        <v/>
      </c>
      <c r="S8" s="9">
        <f>IF(C8="","",SUMIFS(Lines!$N$2:$N$500,Lines!$E$2:$E$500,C8,Lines!$A$2:$A$500,"total",Lines!$O$2:$O$500,"PRODUCT"))</f>
        <v/>
      </c>
      <c r="T8" s="9">
        <f>IF(C8="","",SUMIFS(Lines!$N$2:$N$500,Lines!$E$2:$E$500,C8,Lines!$A$2:$A$500,"line",Lines!$O$2:$O$500,"PRODUCT"))</f>
        <v/>
      </c>
      <c r="U8" s="2">
        <f>IF(C8="","",IF(S8=0,"no stated total",IF(ABS(S8-T8)&gt;Settings!$B$2,"MISMATCH","ok")))</f>
        <v/>
      </c>
      <c r="V8" s="9">
        <f>IF(C8="","",SUMIFS(Lines!$N$2:$N$500,Lines!$E$2:$E$500,C8,Lines!$A$2:$A$500,"total",Lines!$O$2:$O$500,"ALLOWANCE"))</f>
        <v/>
      </c>
      <c r="W8" s="9">
        <f>IF(C8="","",SUMIFS(Lines!$N$2:$N$500,Lines!$E$2:$E$500,C8,Lines!$A$2:$A$500,"line",Lines!$O$2:$O$500,"ALLOWANCE"))</f>
        <v/>
      </c>
      <c r="X8" s="2">
        <f>IF(C8="","",IF(V8=0,"no stated total",IF(ABS(V8-W8)&gt;Settings!$B$2,"MISMATCH","ok")))</f>
        <v/>
      </c>
      <c r="Y8" s="9">
        <f>IF(C8="","",SUMIFS(Lines!$N$2:$N$500,Lines!$E$2:$E$500,C8,Lines!$A$2:$A$500,"total",Lines!$O$2:$O$500,"GRAND"))</f>
        <v/>
      </c>
      <c r="Z8" s="9">
        <f>IF(C8="","",SUMIFS(Lines!$N$2:$N$500,Lines!$E$2:$E$500,C8,Lines!$A$2:$A$500,"line"))</f>
        <v/>
      </c>
      <c r="AA8" s="2">
        <f>IF(C8="","",IF(Y8=0,"no stated total",IF(ABS(Y8-Z8)&gt;Settings!$B$2,"MISMATCH","ok")))</f>
        <v/>
      </c>
      <c r="AB8" s="2">
        <f>IF(C8="","",COUNTIFS(Lines!$E$2:$E$500,C8,Lines!$A$2:$A$500,"coverage"))</f>
        <v/>
      </c>
      <c r="AC8" s="2">
        <f>IF(C8="","",IF(LEN(IF(O8="MISMATCH","lines do not sum to stated total (LABOUR_ALL); ","")&amp;IF(R8="MISMATCH","lines do not sum to stated total (INSTALL); ","")&amp;IF(U8="MISMATCH","lines do not sum to stated total (PRODUCT); ","")&amp;IF(X8="MISMATCH","lines do not sum to stated total (ALLOWANCE); ","")&amp;IF(AA8="MISMATCH","lines do not sum to grand total; ","")&amp;IF(OR(I8="1-"&amp;H8,AND(H8=1,I8="1")),"","pages not read; ")&amp;IF(K8="N","extracted without mapping table; ","")&amp;IF(AB8&gt;1,"document extracted twice; ",""))&gt;2,LEFT(IF(O8="MISMATCH","lines do not sum to stated total (LABOUR_ALL); ","")&amp;IF(R8="MISMATCH","lines do not sum to stated total (INSTALL); ","")&amp;IF(U8="MISMATCH","lines do not sum to stated total (PRODUCT); ","")&amp;IF(X8="MISMATCH","lines do not sum to stated total (ALLOWANCE); ","")&amp;IF(AA8="MISMATCH","lines do not sum to grand total; ","")&amp;IF(OR(I8="1-"&amp;H8,AND(H8=1,I8="1")),"","pages not read; ")&amp;IF(K8="N","extracted without mapping table; ","")&amp;IF(AB8&gt;1,"document extracted twice; ",""),LEN(IF(O8="MISMATCH","lines do not sum to stated total (LABOUR_ALL); ","")&amp;IF(R8="MISMATCH","lines do not sum to stated total (INSTALL); ","")&amp;IF(U8="MISMATCH","lines do not sum to stated total (PRODUCT); ","")&amp;IF(X8="MISMATCH","lines do not sum to stated total (ALLOWANCE); ","")&amp;IF(AA8="MISMATCH","lines do not sum to grand total; ","")&amp;IF(OR(I8="1-"&amp;H8,AND(H8=1,I8="1")),"","pages not read; ")&amp;IF(K8="N","extracted without mapping table; ","")&amp;IF(AB8&gt;1,"document extracted twice; ",""))-2),""))</f>
        <v/>
      </c>
      <c r="AD8" s="2">
        <f>IF(AC8&lt;&gt;"",MAX($AD$1:AD7)+1,"")</f>
        <v/>
      </c>
    </row>
    <row r="9">
      <c r="A9" s="2" t="n">
        <v>8</v>
      </c>
      <c r="B9" s="2">
        <f>IFERROR(MATCH(A9,Lines!$AF$2:$AF$500,0),"")</f>
        <v/>
      </c>
      <c r="C9" s="2">
        <f>IF(B9="","",INDEX(Lines!$E$2:$E$500,B9)&amp;"")</f>
        <v/>
      </c>
      <c r="D9" s="2">
        <f>IF(B9="","",INDEX(Lines!$B$2:$B$500,B9)&amp;"")</f>
        <v/>
      </c>
      <c r="E9" s="2">
        <f>IF(B9="","",INDEX(Lines!$C$2:$C$500,B9)&amp;"")</f>
        <v/>
      </c>
      <c r="F9" s="2">
        <f>IF(B9="","",INDEX(Lines!$D$2:$D$500,B9)&amp;"")</f>
        <v/>
      </c>
      <c r="G9" s="2">
        <f>IF(B9="","",INDEX(Lines!$F$2:$F$500,B9)&amp;"")</f>
        <v/>
      </c>
      <c r="H9" s="2">
        <f>IF(B9="","",INDEX(Lines!$R$2:$R$500,B9))</f>
        <v/>
      </c>
      <c r="I9" s="2">
        <f>IF(B9="","",INDEX(Lines!$S$2:$S$500,B9)&amp;"")</f>
        <v/>
      </c>
      <c r="J9" s="2">
        <f>IF(B9="","",INDEX(Lines!$T$2:$T$500,B9)&amp;"")</f>
        <v/>
      </c>
      <c r="K9" s="2">
        <f>IF(B9="","",INDEX(Lines!$U$2:$U$500,B9)&amp;"")</f>
        <v/>
      </c>
      <c r="L9" s="2">
        <f>IF(B9="","",INDEX(Lines!$V$2:$V$500,B9)&amp;"")</f>
        <v/>
      </c>
      <c r="M9" s="9">
        <f>IF(C9="","",SUMIFS(Lines!$N$2:$N$500,Lines!$E$2:$E$500,C9,Lines!$A$2:$A$500,"total",Lines!$X$2:$X$500,"LABOUR_ALL"))</f>
        <v/>
      </c>
      <c r="N9" s="9">
        <f>IF(C9="","",SUMIFS(Lines!$N$2:$N$500,Lines!$E$2:$E$500,C9,Lines!$A$2:$A$500,"line",Lines!$X$2:$X$500,"LABOUR_ALL"))</f>
        <v/>
      </c>
      <c r="O9" s="2">
        <f>IF(C9="","",IF(M9=0,"no stated total",IF(ABS(M9-N9)&gt;Settings!$B$2,"MISMATCH","ok")))</f>
        <v/>
      </c>
      <c r="P9" s="9">
        <f>IF(C9="","",SUMIFS(Lines!$N$2:$N$500,Lines!$E$2:$E$500,C9,Lines!$A$2:$A$500,"total",Lines!$O$2:$O$500,"INSTALL"))</f>
        <v/>
      </c>
      <c r="Q9" s="9">
        <f>IF(C9="","",SUMIFS(Lines!$N$2:$N$500,Lines!$E$2:$E$500,C9,Lines!$A$2:$A$500,"line",Lines!$O$2:$O$500,"INSTALL"))</f>
        <v/>
      </c>
      <c r="R9" s="2">
        <f>IF(C9="","",IF(P9=0,"no stated total",IF(ABS(P9-Q9)&gt;Settings!$B$2,"MISMATCH","ok")))</f>
        <v/>
      </c>
      <c r="S9" s="9">
        <f>IF(C9="","",SUMIFS(Lines!$N$2:$N$500,Lines!$E$2:$E$500,C9,Lines!$A$2:$A$500,"total",Lines!$O$2:$O$500,"PRODUCT"))</f>
        <v/>
      </c>
      <c r="T9" s="9">
        <f>IF(C9="","",SUMIFS(Lines!$N$2:$N$500,Lines!$E$2:$E$500,C9,Lines!$A$2:$A$500,"line",Lines!$O$2:$O$500,"PRODUCT"))</f>
        <v/>
      </c>
      <c r="U9" s="2">
        <f>IF(C9="","",IF(S9=0,"no stated total",IF(ABS(S9-T9)&gt;Settings!$B$2,"MISMATCH","ok")))</f>
        <v/>
      </c>
      <c r="V9" s="9">
        <f>IF(C9="","",SUMIFS(Lines!$N$2:$N$500,Lines!$E$2:$E$500,C9,Lines!$A$2:$A$500,"total",Lines!$O$2:$O$500,"ALLOWANCE"))</f>
        <v/>
      </c>
      <c r="W9" s="9">
        <f>IF(C9="","",SUMIFS(Lines!$N$2:$N$500,Lines!$E$2:$E$500,C9,Lines!$A$2:$A$500,"line",Lines!$O$2:$O$500,"ALLOWANCE"))</f>
        <v/>
      </c>
      <c r="X9" s="2">
        <f>IF(C9="","",IF(V9=0,"no stated total",IF(ABS(V9-W9)&gt;Settings!$B$2,"MISMATCH","ok")))</f>
        <v/>
      </c>
      <c r="Y9" s="9">
        <f>IF(C9="","",SUMIFS(Lines!$N$2:$N$500,Lines!$E$2:$E$500,C9,Lines!$A$2:$A$500,"total",Lines!$O$2:$O$500,"GRAND"))</f>
        <v/>
      </c>
      <c r="Z9" s="9">
        <f>IF(C9="","",SUMIFS(Lines!$N$2:$N$500,Lines!$E$2:$E$500,C9,Lines!$A$2:$A$500,"line"))</f>
        <v/>
      </c>
      <c r="AA9" s="2">
        <f>IF(C9="","",IF(Y9=0,"no stated total",IF(ABS(Y9-Z9)&gt;Settings!$B$2,"MISMATCH","ok")))</f>
        <v/>
      </c>
      <c r="AB9" s="2">
        <f>IF(C9="","",COUNTIFS(Lines!$E$2:$E$500,C9,Lines!$A$2:$A$500,"coverage"))</f>
        <v/>
      </c>
      <c r="AC9" s="2">
        <f>IF(C9="","",IF(LEN(IF(O9="MISMATCH","lines do not sum to stated total (LABOUR_ALL); ","")&amp;IF(R9="MISMATCH","lines do not sum to stated total (INSTALL); ","")&amp;IF(U9="MISMATCH","lines do not sum to stated total (PRODUCT); ","")&amp;IF(X9="MISMATCH","lines do not sum to stated total (ALLOWANCE); ","")&amp;IF(AA9="MISMATCH","lines do not sum to grand total; ","")&amp;IF(OR(I9="1-"&amp;H9,AND(H9=1,I9="1")),"","pages not read; ")&amp;IF(K9="N","extracted without mapping table; ","")&amp;IF(AB9&gt;1,"document extracted twice; ",""))&gt;2,LEFT(IF(O9="MISMATCH","lines do not sum to stated total (LABOUR_ALL); ","")&amp;IF(R9="MISMATCH","lines do not sum to stated total (INSTALL); ","")&amp;IF(U9="MISMATCH","lines do not sum to stated total (PRODUCT); ","")&amp;IF(X9="MISMATCH","lines do not sum to stated total (ALLOWANCE); ","")&amp;IF(AA9="MISMATCH","lines do not sum to grand total; ","")&amp;IF(OR(I9="1-"&amp;H9,AND(H9=1,I9="1")),"","pages not read; ")&amp;IF(K9="N","extracted without mapping table; ","")&amp;IF(AB9&gt;1,"document extracted twice; ",""),LEN(IF(O9="MISMATCH","lines do not sum to stated total (LABOUR_ALL); ","")&amp;IF(R9="MISMATCH","lines do not sum to stated total (INSTALL); ","")&amp;IF(U9="MISMATCH","lines do not sum to stated total (PRODUCT); ","")&amp;IF(X9="MISMATCH","lines do not sum to stated total (ALLOWANCE); ","")&amp;IF(AA9="MISMATCH","lines do not sum to grand total; ","")&amp;IF(OR(I9="1-"&amp;H9,AND(H9=1,I9="1")),"","pages not read; ")&amp;IF(K9="N","extracted without mapping table; ","")&amp;IF(AB9&gt;1,"document extracted twice; ",""))-2),""))</f>
        <v/>
      </c>
      <c r="AD9" s="2">
        <f>IF(AC9&lt;&gt;"",MAX($AD$1:AD8)+1,"")</f>
        <v/>
      </c>
    </row>
    <row r="10">
      <c r="A10" s="2" t="n">
        <v>9</v>
      </c>
      <c r="B10" s="2">
        <f>IFERROR(MATCH(A10,Lines!$AF$2:$AF$500,0),"")</f>
        <v/>
      </c>
      <c r="C10" s="2">
        <f>IF(B10="","",INDEX(Lines!$E$2:$E$500,B10)&amp;"")</f>
        <v/>
      </c>
      <c r="D10" s="2">
        <f>IF(B10="","",INDEX(Lines!$B$2:$B$500,B10)&amp;"")</f>
        <v/>
      </c>
      <c r="E10" s="2">
        <f>IF(B10="","",INDEX(Lines!$C$2:$C$500,B10)&amp;"")</f>
        <v/>
      </c>
      <c r="F10" s="2">
        <f>IF(B10="","",INDEX(Lines!$D$2:$D$500,B10)&amp;"")</f>
        <v/>
      </c>
      <c r="G10" s="2">
        <f>IF(B10="","",INDEX(Lines!$F$2:$F$500,B10)&amp;"")</f>
        <v/>
      </c>
      <c r="H10" s="2">
        <f>IF(B10="","",INDEX(Lines!$R$2:$R$500,B10))</f>
        <v/>
      </c>
      <c r="I10" s="2">
        <f>IF(B10="","",INDEX(Lines!$S$2:$S$500,B10)&amp;"")</f>
        <v/>
      </c>
      <c r="J10" s="2">
        <f>IF(B10="","",INDEX(Lines!$T$2:$T$500,B10)&amp;"")</f>
        <v/>
      </c>
      <c r="K10" s="2">
        <f>IF(B10="","",INDEX(Lines!$U$2:$U$500,B10)&amp;"")</f>
        <v/>
      </c>
      <c r="L10" s="2">
        <f>IF(B10="","",INDEX(Lines!$V$2:$V$500,B10)&amp;"")</f>
        <v/>
      </c>
      <c r="M10" s="9">
        <f>IF(C10="","",SUMIFS(Lines!$N$2:$N$500,Lines!$E$2:$E$500,C10,Lines!$A$2:$A$500,"total",Lines!$X$2:$X$500,"LABOUR_ALL"))</f>
        <v/>
      </c>
      <c r="N10" s="9">
        <f>IF(C10="","",SUMIFS(Lines!$N$2:$N$500,Lines!$E$2:$E$500,C10,Lines!$A$2:$A$500,"line",Lines!$X$2:$X$500,"LABOUR_ALL"))</f>
        <v/>
      </c>
      <c r="O10" s="2">
        <f>IF(C10="","",IF(M10=0,"no stated total",IF(ABS(M10-N10)&gt;Settings!$B$2,"MISMATCH","ok")))</f>
        <v/>
      </c>
      <c r="P10" s="9">
        <f>IF(C10="","",SUMIFS(Lines!$N$2:$N$500,Lines!$E$2:$E$500,C10,Lines!$A$2:$A$500,"total",Lines!$O$2:$O$500,"INSTALL"))</f>
        <v/>
      </c>
      <c r="Q10" s="9">
        <f>IF(C10="","",SUMIFS(Lines!$N$2:$N$500,Lines!$E$2:$E$500,C10,Lines!$A$2:$A$500,"line",Lines!$O$2:$O$500,"INSTALL"))</f>
        <v/>
      </c>
      <c r="R10" s="2">
        <f>IF(C10="","",IF(P10=0,"no stated total",IF(ABS(P10-Q10)&gt;Settings!$B$2,"MISMATCH","ok")))</f>
        <v/>
      </c>
      <c r="S10" s="9">
        <f>IF(C10="","",SUMIFS(Lines!$N$2:$N$500,Lines!$E$2:$E$500,C10,Lines!$A$2:$A$500,"total",Lines!$O$2:$O$500,"PRODUCT"))</f>
        <v/>
      </c>
      <c r="T10" s="9">
        <f>IF(C10="","",SUMIFS(Lines!$N$2:$N$500,Lines!$E$2:$E$500,C10,Lines!$A$2:$A$500,"line",Lines!$O$2:$O$500,"PRODUCT"))</f>
        <v/>
      </c>
      <c r="U10" s="2">
        <f>IF(C10="","",IF(S10=0,"no stated total",IF(ABS(S10-T10)&gt;Settings!$B$2,"MISMATCH","ok")))</f>
        <v/>
      </c>
      <c r="V10" s="9">
        <f>IF(C10="","",SUMIFS(Lines!$N$2:$N$500,Lines!$E$2:$E$500,C10,Lines!$A$2:$A$500,"total",Lines!$O$2:$O$500,"ALLOWANCE"))</f>
        <v/>
      </c>
      <c r="W10" s="9">
        <f>IF(C10="","",SUMIFS(Lines!$N$2:$N$500,Lines!$E$2:$E$500,C10,Lines!$A$2:$A$500,"line",Lines!$O$2:$O$500,"ALLOWANCE"))</f>
        <v/>
      </c>
      <c r="X10" s="2">
        <f>IF(C10="","",IF(V10=0,"no stated total",IF(ABS(V10-W10)&gt;Settings!$B$2,"MISMATCH","ok")))</f>
        <v/>
      </c>
      <c r="Y10" s="9">
        <f>IF(C10="","",SUMIFS(Lines!$N$2:$N$500,Lines!$E$2:$E$500,C10,Lines!$A$2:$A$500,"total",Lines!$O$2:$O$500,"GRAND"))</f>
        <v/>
      </c>
      <c r="Z10" s="9">
        <f>IF(C10="","",SUMIFS(Lines!$N$2:$N$500,Lines!$E$2:$E$500,C10,Lines!$A$2:$A$500,"line"))</f>
        <v/>
      </c>
      <c r="AA10" s="2">
        <f>IF(C10="","",IF(Y10=0,"no stated total",IF(ABS(Y10-Z10)&gt;Settings!$B$2,"MISMATCH","ok")))</f>
        <v/>
      </c>
      <c r="AB10" s="2">
        <f>IF(C10="","",COUNTIFS(Lines!$E$2:$E$500,C10,Lines!$A$2:$A$500,"coverage"))</f>
        <v/>
      </c>
      <c r="AC10" s="2">
        <f>IF(C10="","",IF(LEN(IF(O10="MISMATCH","lines do not sum to stated total (LABOUR_ALL); ","")&amp;IF(R10="MISMATCH","lines do not sum to stated total (INSTALL); ","")&amp;IF(U10="MISMATCH","lines do not sum to stated total (PRODUCT); ","")&amp;IF(X10="MISMATCH","lines do not sum to stated total (ALLOWANCE); ","")&amp;IF(AA10="MISMATCH","lines do not sum to grand total; ","")&amp;IF(OR(I10="1-"&amp;H10,AND(H10=1,I10="1")),"","pages not read; ")&amp;IF(K10="N","extracted without mapping table; ","")&amp;IF(AB10&gt;1,"document extracted twice; ",""))&gt;2,LEFT(IF(O10="MISMATCH","lines do not sum to stated total (LABOUR_ALL); ","")&amp;IF(R10="MISMATCH","lines do not sum to stated total (INSTALL); ","")&amp;IF(U10="MISMATCH","lines do not sum to stated total (PRODUCT); ","")&amp;IF(X10="MISMATCH","lines do not sum to stated total (ALLOWANCE); ","")&amp;IF(AA10="MISMATCH","lines do not sum to grand total; ","")&amp;IF(OR(I10="1-"&amp;H10,AND(H10=1,I10="1")),"","pages not read; ")&amp;IF(K10="N","extracted without mapping table; ","")&amp;IF(AB10&gt;1,"document extracted twice; ",""),LEN(IF(O10="MISMATCH","lines do not sum to stated total (LABOUR_ALL); ","")&amp;IF(R10="MISMATCH","lines do not sum to stated total (INSTALL); ","")&amp;IF(U10="MISMATCH","lines do not sum to stated total (PRODUCT); ","")&amp;IF(X10="MISMATCH","lines do not sum to stated total (ALLOWANCE); ","")&amp;IF(AA10="MISMATCH","lines do not sum to grand total; ","")&amp;IF(OR(I10="1-"&amp;H10,AND(H10=1,I10="1")),"","pages not read; ")&amp;IF(K10="N","extracted without mapping table; ","")&amp;IF(AB10&gt;1,"document extracted twice; ",""))-2),""))</f>
        <v/>
      </c>
      <c r="AD10" s="2">
        <f>IF(AC10&lt;&gt;"",MAX($AD$1:AD9)+1,"")</f>
        <v/>
      </c>
    </row>
    <row r="11">
      <c r="A11" s="2" t="n">
        <v>10</v>
      </c>
      <c r="B11" s="2">
        <f>IFERROR(MATCH(A11,Lines!$AF$2:$AF$500,0),"")</f>
        <v/>
      </c>
      <c r="C11" s="2">
        <f>IF(B11="","",INDEX(Lines!$E$2:$E$500,B11)&amp;"")</f>
        <v/>
      </c>
      <c r="D11" s="2">
        <f>IF(B11="","",INDEX(Lines!$B$2:$B$500,B11)&amp;"")</f>
        <v/>
      </c>
      <c r="E11" s="2">
        <f>IF(B11="","",INDEX(Lines!$C$2:$C$500,B11)&amp;"")</f>
        <v/>
      </c>
      <c r="F11" s="2">
        <f>IF(B11="","",INDEX(Lines!$D$2:$D$500,B11)&amp;"")</f>
        <v/>
      </c>
      <c r="G11" s="2">
        <f>IF(B11="","",INDEX(Lines!$F$2:$F$500,B11)&amp;"")</f>
        <v/>
      </c>
      <c r="H11" s="2">
        <f>IF(B11="","",INDEX(Lines!$R$2:$R$500,B11))</f>
        <v/>
      </c>
      <c r="I11" s="2">
        <f>IF(B11="","",INDEX(Lines!$S$2:$S$500,B11)&amp;"")</f>
        <v/>
      </c>
      <c r="J11" s="2">
        <f>IF(B11="","",INDEX(Lines!$T$2:$T$500,B11)&amp;"")</f>
        <v/>
      </c>
      <c r="K11" s="2">
        <f>IF(B11="","",INDEX(Lines!$U$2:$U$500,B11)&amp;"")</f>
        <v/>
      </c>
      <c r="L11" s="2">
        <f>IF(B11="","",INDEX(Lines!$V$2:$V$500,B11)&amp;"")</f>
        <v/>
      </c>
      <c r="M11" s="9">
        <f>IF(C11="","",SUMIFS(Lines!$N$2:$N$500,Lines!$E$2:$E$500,C11,Lines!$A$2:$A$500,"total",Lines!$X$2:$X$500,"LABOUR_ALL"))</f>
        <v/>
      </c>
      <c r="N11" s="9">
        <f>IF(C11="","",SUMIFS(Lines!$N$2:$N$500,Lines!$E$2:$E$500,C11,Lines!$A$2:$A$500,"line",Lines!$X$2:$X$500,"LABOUR_ALL"))</f>
        <v/>
      </c>
      <c r="O11" s="2">
        <f>IF(C11="","",IF(M11=0,"no stated total",IF(ABS(M11-N11)&gt;Settings!$B$2,"MISMATCH","ok")))</f>
        <v/>
      </c>
      <c r="P11" s="9">
        <f>IF(C11="","",SUMIFS(Lines!$N$2:$N$500,Lines!$E$2:$E$500,C11,Lines!$A$2:$A$500,"total",Lines!$O$2:$O$500,"INSTALL"))</f>
        <v/>
      </c>
      <c r="Q11" s="9">
        <f>IF(C11="","",SUMIFS(Lines!$N$2:$N$500,Lines!$E$2:$E$500,C11,Lines!$A$2:$A$500,"line",Lines!$O$2:$O$500,"INSTALL"))</f>
        <v/>
      </c>
      <c r="R11" s="2">
        <f>IF(C11="","",IF(P11=0,"no stated total",IF(ABS(P11-Q11)&gt;Settings!$B$2,"MISMATCH","ok")))</f>
        <v/>
      </c>
      <c r="S11" s="9">
        <f>IF(C11="","",SUMIFS(Lines!$N$2:$N$500,Lines!$E$2:$E$500,C11,Lines!$A$2:$A$500,"total",Lines!$O$2:$O$500,"PRODUCT"))</f>
        <v/>
      </c>
      <c r="T11" s="9">
        <f>IF(C11="","",SUMIFS(Lines!$N$2:$N$500,Lines!$E$2:$E$500,C11,Lines!$A$2:$A$500,"line",Lines!$O$2:$O$500,"PRODUCT"))</f>
        <v/>
      </c>
      <c r="U11" s="2">
        <f>IF(C11="","",IF(S11=0,"no stated total",IF(ABS(S11-T11)&gt;Settings!$B$2,"MISMATCH","ok")))</f>
        <v/>
      </c>
      <c r="V11" s="9">
        <f>IF(C11="","",SUMIFS(Lines!$N$2:$N$500,Lines!$E$2:$E$500,C11,Lines!$A$2:$A$500,"total",Lines!$O$2:$O$500,"ALLOWANCE"))</f>
        <v/>
      </c>
      <c r="W11" s="9">
        <f>IF(C11="","",SUMIFS(Lines!$N$2:$N$500,Lines!$E$2:$E$500,C11,Lines!$A$2:$A$500,"line",Lines!$O$2:$O$500,"ALLOWANCE"))</f>
        <v/>
      </c>
      <c r="X11" s="2">
        <f>IF(C11="","",IF(V11=0,"no stated total",IF(ABS(V11-W11)&gt;Settings!$B$2,"MISMATCH","ok")))</f>
        <v/>
      </c>
      <c r="Y11" s="9">
        <f>IF(C11="","",SUMIFS(Lines!$N$2:$N$500,Lines!$E$2:$E$500,C11,Lines!$A$2:$A$500,"total",Lines!$O$2:$O$500,"GRAND"))</f>
        <v/>
      </c>
      <c r="Z11" s="9">
        <f>IF(C11="","",SUMIFS(Lines!$N$2:$N$500,Lines!$E$2:$E$500,C11,Lines!$A$2:$A$500,"line"))</f>
        <v/>
      </c>
      <c r="AA11" s="2">
        <f>IF(C11="","",IF(Y11=0,"no stated total",IF(ABS(Y11-Z11)&gt;Settings!$B$2,"MISMATCH","ok")))</f>
        <v/>
      </c>
      <c r="AB11" s="2">
        <f>IF(C11="","",COUNTIFS(Lines!$E$2:$E$500,C11,Lines!$A$2:$A$500,"coverage"))</f>
        <v/>
      </c>
      <c r="AC11" s="2">
        <f>IF(C11="","",IF(LEN(IF(O11="MISMATCH","lines do not sum to stated total (LABOUR_ALL); ","")&amp;IF(R11="MISMATCH","lines do not sum to stated total (INSTALL); ","")&amp;IF(U11="MISMATCH","lines do not sum to stated total (PRODUCT); ","")&amp;IF(X11="MISMATCH","lines do not sum to stated total (ALLOWANCE); ","")&amp;IF(AA11="MISMATCH","lines do not sum to grand total; ","")&amp;IF(OR(I11="1-"&amp;H11,AND(H11=1,I11="1")),"","pages not read; ")&amp;IF(K11="N","extracted without mapping table; ","")&amp;IF(AB11&gt;1,"document extracted twice; ",""))&gt;2,LEFT(IF(O11="MISMATCH","lines do not sum to stated total (LABOUR_ALL); ","")&amp;IF(R11="MISMATCH","lines do not sum to stated total (INSTALL); ","")&amp;IF(U11="MISMATCH","lines do not sum to stated total (PRODUCT); ","")&amp;IF(X11="MISMATCH","lines do not sum to stated total (ALLOWANCE); ","")&amp;IF(AA11="MISMATCH","lines do not sum to grand total; ","")&amp;IF(OR(I11="1-"&amp;H11,AND(H11=1,I11="1")),"","pages not read; ")&amp;IF(K11="N","extracted without mapping table; ","")&amp;IF(AB11&gt;1,"document extracted twice; ",""),LEN(IF(O11="MISMATCH","lines do not sum to stated total (LABOUR_ALL); ","")&amp;IF(R11="MISMATCH","lines do not sum to stated total (INSTALL); ","")&amp;IF(U11="MISMATCH","lines do not sum to stated total (PRODUCT); ","")&amp;IF(X11="MISMATCH","lines do not sum to stated total (ALLOWANCE); ","")&amp;IF(AA11="MISMATCH","lines do not sum to grand total; ","")&amp;IF(OR(I11="1-"&amp;H11,AND(H11=1,I11="1")),"","pages not read; ")&amp;IF(K11="N","extracted without mapping table; ","")&amp;IF(AB11&gt;1,"document extracted twice; ",""))-2),""))</f>
        <v/>
      </c>
      <c r="AD11" s="2">
        <f>IF(AC11&lt;&gt;"",MAX($AD$1:AD10)+1,"")</f>
        <v/>
      </c>
    </row>
    <row r="12">
      <c r="A12" s="2" t="n">
        <v>11</v>
      </c>
      <c r="B12" s="2">
        <f>IFERROR(MATCH(A12,Lines!$AF$2:$AF$500,0),"")</f>
        <v/>
      </c>
      <c r="C12" s="2">
        <f>IF(B12="","",INDEX(Lines!$E$2:$E$500,B12)&amp;"")</f>
        <v/>
      </c>
      <c r="D12" s="2">
        <f>IF(B12="","",INDEX(Lines!$B$2:$B$500,B12)&amp;"")</f>
        <v/>
      </c>
      <c r="E12" s="2">
        <f>IF(B12="","",INDEX(Lines!$C$2:$C$500,B12)&amp;"")</f>
        <v/>
      </c>
      <c r="F12" s="2">
        <f>IF(B12="","",INDEX(Lines!$D$2:$D$500,B12)&amp;"")</f>
        <v/>
      </c>
      <c r="G12" s="2">
        <f>IF(B12="","",INDEX(Lines!$F$2:$F$500,B12)&amp;"")</f>
        <v/>
      </c>
      <c r="H12" s="2">
        <f>IF(B12="","",INDEX(Lines!$R$2:$R$500,B12))</f>
        <v/>
      </c>
      <c r="I12" s="2">
        <f>IF(B12="","",INDEX(Lines!$S$2:$S$500,B12)&amp;"")</f>
        <v/>
      </c>
      <c r="J12" s="2">
        <f>IF(B12="","",INDEX(Lines!$T$2:$T$500,B12)&amp;"")</f>
        <v/>
      </c>
      <c r="K12" s="2">
        <f>IF(B12="","",INDEX(Lines!$U$2:$U$500,B12)&amp;"")</f>
        <v/>
      </c>
      <c r="L12" s="2">
        <f>IF(B12="","",INDEX(Lines!$V$2:$V$500,B12)&amp;"")</f>
        <v/>
      </c>
      <c r="M12" s="9">
        <f>IF(C12="","",SUMIFS(Lines!$N$2:$N$500,Lines!$E$2:$E$500,C12,Lines!$A$2:$A$500,"total",Lines!$X$2:$X$500,"LABOUR_ALL"))</f>
        <v/>
      </c>
      <c r="N12" s="9">
        <f>IF(C12="","",SUMIFS(Lines!$N$2:$N$500,Lines!$E$2:$E$500,C12,Lines!$A$2:$A$500,"line",Lines!$X$2:$X$500,"LABOUR_ALL"))</f>
        <v/>
      </c>
      <c r="O12" s="2">
        <f>IF(C12="","",IF(M12=0,"no stated total",IF(ABS(M12-N12)&gt;Settings!$B$2,"MISMATCH","ok")))</f>
        <v/>
      </c>
      <c r="P12" s="9">
        <f>IF(C12="","",SUMIFS(Lines!$N$2:$N$500,Lines!$E$2:$E$500,C12,Lines!$A$2:$A$500,"total",Lines!$O$2:$O$500,"INSTALL"))</f>
        <v/>
      </c>
      <c r="Q12" s="9">
        <f>IF(C12="","",SUMIFS(Lines!$N$2:$N$500,Lines!$E$2:$E$500,C12,Lines!$A$2:$A$500,"line",Lines!$O$2:$O$500,"INSTALL"))</f>
        <v/>
      </c>
      <c r="R12" s="2">
        <f>IF(C12="","",IF(P12=0,"no stated total",IF(ABS(P12-Q12)&gt;Settings!$B$2,"MISMATCH","ok")))</f>
        <v/>
      </c>
      <c r="S12" s="9">
        <f>IF(C12="","",SUMIFS(Lines!$N$2:$N$500,Lines!$E$2:$E$500,C12,Lines!$A$2:$A$500,"total",Lines!$O$2:$O$500,"PRODUCT"))</f>
        <v/>
      </c>
      <c r="T12" s="9">
        <f>IF(C12="","",SUMIFS(Lines!$N$2:$N$500,Lines!$E$2:$E$500,C12,Lines!$A$2:$A$500,"line",Lines!$O$2:$O$500,"PRODUCT"))</f>
        <v/>
      </c>
      <c r="U12" s="2">
        <f>IF(C12="","",IF(S12=0,"no stated total",IF(ABS(S12-T12)&gt;Settings!$B$2,"MISMATCH","ok")))</f>
        <v/>
      </c>
      <c r="V12" s="9">
        <f>IF(C12="","",SUMIFS(Lines!$N$2:$N$500,Lines!$E$2:$E$500,C12,Lines!$A$2:$A$500,"total",Lines!$O$2:$O$500,"ALLOWANCE"))</f>
        <v/>
      </c>
      <c r="W12" s="9">
        <f>IF(C12="","",SUMIFS(Lines!$N$2:$N$500,Lines!$E$2:$E$500,C12,Lines!$A$2:$A$500,"line",Lines!$O$2:$O$500,"ALLOWANCE"))</f>
        <v/>
      </c>
      <c r="X12" s="2">
        <f>IF(C12="","",IF(V12=0,"no stated total",IF(ABS(V12-W12)&gt;Settings!$B$2,"MISMATCH","ok")))</f>
        <v/>
      </c>
      <c r="Y12" s="9">
        <f>IF(C12="","",SUMIFS(Lines!$N$2:$N$500,Lines!$E$2:$E$500,C12,Lines!$A$2:$A$500,"total",Lines!$O$2:$O$500,"GRAND"))</f>
        <v/>
      </c>
      <c r="Z12" s="9">
        <f>IF(C12="","",SUMIFS(Lines!$N$2:$N$500,Lines!$E$2:$E$500,C12,Lines!$A$2:$A$500,"line"))</f>
        <v/>
      </c>
      <c r="AA12" s="2">
        <f>IF(C12="","",IF(Y12=0,"no stated total",IF(ABS(Y12-Z12)&gt;Settings!$B$2,"MISMATCH","ok")))</f>
        <v/>
      </c>
      <c r="AB12" s="2">
        <f>IF(C12="","",COUNTIFS(Lines!$E$2:$E$500,C12,Lines!$A$2:$A$500,"coverage"))</f>
        <v/>
      </c>
      <c r="AC12" s="2">
        <f>IF(C12="","",IF(LEN(IF(O12="MISMATCH","lines do not sum to stated total (LABOUR_ALL); ","")&amp;IF(R12="MISMATCH","lines do not sum to stated total (INSTALL); ","")&amp;IF(U12="MISMATCH","lines do not sum to stated total (PRODUCT); ","")&amp;IF(X12="MISMATCH","lines do not sum to stated total (ALLOWANCE); ","")&amp;IF(AA12="MISMATCH","lines do not sum to grand total; ","")&amp;IF(OR(I12="1-"&amp;H12,AND(H12=1,I12="1")),"","pages not read; ")&amp;IF(K12="N","extracted without mapping table; ","")&amp;IF(AB12&gt;1,"document extracted twice; ",""))&gt;2,LEFT(IF(O12="MISMATCH","lines do not sum to stated total (LABOUR_ALL); ","")&amp;IF(R12="MISMATCH","lines do not sum to stated total (INSTALL); ","")&amp;IF(U12="MISMATCH","lines do not sum to stated total (PRODUCT); ","")&amp;IF(X12="MISMATCH","lines do not sum to stated total (ALLOWANCE); ","")&amp;IF(AA12="MISMATCH","lines do not sum to grand total; ","")&amp;IF(OR(I12="1-"&amp;H12,AND(H12=1,I12="1")),"","pages not read; ")&amp;IF(K12="N","extracted without mapping table; ","")&amp;IF(AB12&gt;1,"document extracted twice; ",""),LEN(IF(O12="MISMATCH","lines do not sum to stated total (LABOUR_ALL); ","")&amp;IF(R12="MISMATCH","lines do not sum to stated total (INSTALL); ","")&amp;IF(U12="MISMATCH","lines do not sum to stated total (PRODUCT); ","")&amp;IF(X12="MISMATCH","lines do not sum to stated total (ALLOWANCE); ","")&amp;IF(AA12="MISMATCH","lines do not sum to grand total; ","")&amp;IF(OR(I12="1-"&amp;H12,AND(H12=1,I12="1")),"","pages not read; ")&amp;IF(K12="N","extracted without mapping table; ","")&amp;IF(AB12&gt;1,"document extracted twice; ",""))-2),""))</f>
        <v/>
      </c>
      <c r="AD12" s="2">
        <f>IF(AC12&lt;&gt;"",MAX($AD$1:AD11)+1,"")</f>
        <v/>
      </c>
    </row>
    <row r="13">
      <c r="A13" s="2" t="n">
        <v>12</v>
      </c>
      <c r="B13" s="2">
        <f>IFERROR(MATCH(A13,Lines!$AF$2:$AF$500,0),"")</f>
        <v/>
      </c>
      <c r="C13" s="2">
        <f>IF(B13="","",INDEX(Lines!$E$2:$E$500,B13)&amp;"")</f>
        <v/>
      </c>
      <c r="D13" s="2">
        <f>IF(B13="","",INDEX(Lines!$B$2:$B$500,B13)&amp;"")</f>
        <v/>
      </c>
      <c r="E13" s="2">
        <f>IF(B13="","",INDEX(Lines!$C$2:$C$500,B13)&amp;"")</f>
        <v/>
      </c>
      <c r="F13" s="2">
        <f>IF(B13="","",INDEX(Lines!$D$2:$D$500,B13)&amp;"")</f>
        <v/>
      </c>
      <c r="G13" s="2">
        <f>IF(B13="","",INDEX(Lines!$F$2:$F$500,B13)&amp;"")</f>
        <v/>
      </c>
      <c r="H13" s="2">
        <f>IF(B13="","",INDEX(Lines!$R$2:$R$500,B13))</f>
        <v/>
      </c>
      <c r="I13" s="2">
        <f>IF(B13="","",INDEX(Lines!$S$2:$S$500,B13)&amp;"")</f>
        <v/>
      </c>
      <c r="J13" s="2">
        <f>IF(B13="","",INDEX(Lines!$T$2:$T$500,B13)&amp;"")</f>
        <v/>
      </c>
      <c r="K13" s="2">
        <f>IF(B13="","",INDEX(Lines!$U$2:$U$500,B13)&amp;"")</f>
        <v/>
      </c>
      <c r="L13" s="2">
        <f>IF(B13="","",INDEX(Lines!$V$2:$V$500,B13)&amp;"")</f>
        <v/>
      </c>
      <c r="M13" s="9">
        <f>IF(C13="","",SUMIFS(Lines!$N$2:$N$500,Lines!$E$2:$E$500,C13,Lines!$A$2:$A$500,"total",Lines!$X$2:$X$500,"LABOUR_ALL"))</f>
        <v/>
      </c>
      <c r="N13" s="9">
        <f>IF(C13="","",SUMIFS(Lines!$N$2:$N$500,Lines!$E$2:$E$500,C13,Lines!$A$2:$A$500,"line",Lines!$X$2:$X$500,"LABOUR_ALL"))</f>
        <v/>
      </c>
      <c r="O13" s="2">
        <f>IF(C13="","",IF(M13=0,"no stated total",IF(ABS(M13-N13)&gt;Settings!$B$2,"MISMATCH","ok")))</f>
        <v/>
      </c>
      <c r="P13" s="9">
        <f>IF(C13="","",SUMIFS(Lines!$N$2:$N$500,Lines!$E$2:$E$500,C13,Lines!$A$2:$A$500,"total",Lines!$O$2:$O$500,"INSTALL"))</f>
        <v/>
      </c>
      <c r="Q13" s="9">
        <f>IF(C13="","",SUMIFS(Lines!$N$2:$N$500,Lines!$E$2:$E$500,C13,Lines!$A$2:$A$500,"line",Lines!$O$2:$O$500,"INSTALL"))</f>
        <v/>
      </c>
      <c r="R13" s="2">
        <f>IF(C13="","",IF(P13=0,"no stated total",IF(ABS(P13-Q13)&gt;Settings!$B$2,"MISMATCH","ok")))</f>
        <v/>
      </c>
      <c r="S13" s="9">
        <f>IF(C13="","",SUMIFS(Lines!$N$2:$N$500,Lines!$E$2:$E$500,C13,Lines!$A$2:$A$500,"total",Lines!$O$2:$O$500,"PRODUCT"))</f>
        <v/>
      </c>
      <c r="T13" s="9">
        <f>IF(C13="","",SUMIFS(Lines!$N$2:$N$500,Lines!$E$2:$E$500,C13,Lines!$A$2:$A$500,"line",Lines!$O$2:$O$500,"PRODUCT"))</f>
        <v/>
      </c>
      <c r="U13" s="2">
        <f>IF(C13="","",IF(S13=0,"no stated total",IF(ABS(S13-T13)&gt;Settings!$B$2,"MISMATCH","ok")))</f>
        <v/>
      </c>
      <c r="V13" s="9">
        <f>IF(C13="","",SUMIFS(Lines!$N$2:$N$500,Lines!$E$2:$E$500,C13,Lines!$A$2:$A$500,"total",Lines!$O$2:$O$500,"ALLOWANCE"))</f>
        <v/>
      </c>
      <c r="W13" s="9">
        <f>IF(C13="","",SUMIFS(Lines!$N$2:$N$500,Lines!$E$2:$E$500,C13,Lines!$A$2:$A$500,"line",Lines!$O$2:$O$500,"ALLOWANCE"))</f>
        <v/>
      </c>
      <c r="X13" s="2">
        <f>IF(C13="","",IF(V13=0,"no stated total",IF(ABS(V13-W13)&gt;Settings!$B$2,"MISMATCH","ok")))</f>
        <v/>
      </c>
      <c r="Y13" s="9">
        <f>IF(C13="","",SUMIFS(Lines!$N$2:$N$500,Lines!$E$2:$E$500,C13,Lines!$A$2:$A$500,"total",Lines!$O$2:$O$500,"GRAND"))</f>
        <v/>
      </c>
      <c r="Z13" s="9">
        <f>IF(C13="","",SUMIFS(Lines!$N$2:$N$500,Lines!$E$2:$E$500,C13,Lines!$A$2:$A$500,"line"))</f>
        <v/>
      </c>
      <c r="AA13" s="2">
        <f>IF(C13="","",IF(Y13=0,"no stated total",IF(ABS(Y13-Z13)&gt;Settings!$B$2,"MISMATCH","ok")))</f>
        <v/>
      </c>
      <c r="AB13" s="2">
        <f>IF(C13="","",COUNTIFS(Lines!$E$2:$E$500,C13,Lines!$A$2:$A$500,"coverage"))</f>
        <v/>
      </c>
      <c r="AC13" s="2">
        <f>IF(C13="","",IF(LEN(IF(O13="MISMATCH","lines do not sum to stated total (LABOUR_ALL); ","")&amp;IF(R13="MISMATCH","lines do not sum to stated total (INSTALL); ","")&amp;IF(U13="MISMATCH","lines do not sum to stated total (PRODUCT); ","")&amp;IF(X13="MISMATCH","lines do not sum to stated total (ALLOWANCE); ","")&amp;IF(AA13="MISMATCH","lines do not sum to grand total; ","")&amp;IF(OR(I13="1-"&amp;H13,AND(H13=1,I13="1")),"","pages not read; ")&amp;IF(K13="N","extracted without mapping table; ","")&amp;IF(AB13&gt;1,"document extracted twice; ",""))&gt;2,LEFT(IF(O13="MISMATCH","lines do not sum to stated total (LABOUR_ALL); ","")&amp;IF(R13="MISMATCH","lines do not sum to stated total (INSTALL); ","")&amp;IF(U13="MISMATCH","lines do not sum to stated total (PRODUCT); ","")&amp;IF(X13="MISMATCH","lines do not sum to stated total (ALLOWANCE); ","")&amp;IF(AA13="MISMATCH","lines do not sum to grand total; ","")&amp;IF(OR(I13="1-"&amp;H13,AND(H13=1,I13="1")),"","pages not read; ")&amp;IF(K13="N","extracted without mapping table; ","")&amp;IF(AB13&gt;1,"document extracted twice; ",""),LEN(IF(O13="MISMATCH","lines do not sum to stated total (LABOUR_ALL); ","")&amp;IF(R13="MISMATCH","lines do not sum to stated total (INSTALL); ","")&amp;IF(U13="MISMATCH","lines do not sum to stated total (PRODUCT); ","")&amp;IF(X13="MISMATCH","lines do not sum to stated total (ALLOWANCE); ","")&amp;IF(AA13="MISMATCH","lines do not sum to grand total; ","")&amp;IF(OR(I13="1-"&amp;H13,AND(H13=1,I13="1")),"","pages not read; ")&amp;IF(K13="N","extracted without mapping table; ","")&amp;IF(AB13&gt;1,"document extracted twice; ",""))-2),""))</f>
        <v/>
      </c>
      <c r="AD13" s="2">
        <f>IF(AC13&lt;&gt;"",MAX($AD$1:AD12)+1,"")</f>
        <v/>
      </c>
    </row>
    <row r="14">
      <c r="A14" s="2" t="n">
        <v>13</v>
      </c>
      <c r="B14" s="2">
        <f>IFERROR(MATCH(A14,Lines!$AF$2:$AF$500,0),"")</f>
        <v/>
      </c>
      <c r="C14" s="2">
        <f>IF(B14="","",INDEX(Lines!$E$2:$E$500,B14)&amp;"")</f>
        <v/>
      </c>
      <c r="D14" s="2">
        <f>IF(B14="","",INDEX(Lines!$B$2:$B$500,B14)&amp;"")</f>
        <v/>
      </c>
      <c r="E14" s="2">
        <f>IF(B14="","",INDEX(Lines!$C$2:$C$500,B14)&amp;"")</f>
        <v/>
      </c>
      <c r="F14" s="2">
        <f>IF(B14="","",INDEX(Lines!$D$2:$D$500,B14)&amp;"")</f>
        <v/>
      </c>
      <c r="G14" s="2">
        <f>IF(B14="","",INDEX(Lines!$F$2:$F$500,B14)&amp;"")</f>
        <v/>
      </c>
      <c r="H14" s="2">
        <f>IF(B14="","",INDEX(Lines!$R$2:$R$500,B14))</f>
        <v/>
      </c>
      <c r="I14" s="2">
        <f>IF(B14="","",INDEX(Lines!$S$2:$S$500,B14)&amp;"")</f>
        <v/>
      </c>
      <c r="J14" s="2">
        <f>IF(B14="","",INDEX(Lines!$T$2:$T$500,B14)&amp;"")</f>
        <v/>
      </c>
      <c r="K14" s="2">
        <f>IF(B14="","",INDEX(Lines!$U$2:$U$500,B14)&amp;"")</f>
        <v/>
      </c>
      <c r="L14" s="2">
        <f>IF(B14="","",INDEX(Lines!$V$2:$V$500,B14)&amp;"")</f>
        <v/>
      </c>
      <c r="M14" s="9">
        <f>IF(C14="","",SUMIFS(Lines!$N$2:$N$500,Lines!$E$2:$E$500,C14,Lines!$A$2:$A$500,"total",Lines!$X$2:$X$500,"LABOUR_ALL"))</f>
        <v/>
      </c>
      <c r="N14" s="9">
        <f>IF(C14="","",SUMIFS(Lines!$N$2:$N$500,Lines!$E$2:$E$500,C14,Lines!$A$2:$A$500,"line",Lines!$X$2:$X$500,"LABOUR_ALL"))</f>
        <v/>
      </c>
      <c r="O14" s="2">
        <f>IF(C14="","",IF(M14=0,"no stated total",IF(ABS(M14-N14)&gt;Settings!$B$2,"MISMATCH","ok")))</f>
        <v/>
      </c>
      <c r="P14" s="9">
        <f>IF(C14="","",SUMIFS(Lines!$N$2:$N$500,Lines!$E$2:$E$500,C14,Lines!$A$2:$A$500,"total",Lines!$O$2:$O$500,"INSTALL"))</f>
        <v/>
      </c>
      <c r="Q14" s="9">
        <f>IF(C14="","",SUMIFS(Lines!$N$2:$N$500,Lines!$E$2:$E$500,C14,Lines!$A$2:$A$500,"line",Lines!$O$2:$O$500,"INSTALL"))</f>
        <v/>
      </c>
      <c r="R14" s="2">
        <f>IF(C14="","",IF(P14=0,"no stated total",IF(ABS(P14-Q14)&gt;Settings!$B$2,"MISMATCH","ok")))</f>
        <v/>
      </c>
      <c r="S14" s="9">
        <f>IF(C14="","",SUMIFS(Lines!$N$2:$N$500,Lines!$E$2:$E$500,C14,Lines!$A$2:$A$500,"total",Lines!$O$2:$O$500,"PRODUCT"))</f>
        <v/>
      </c>
      <c r="T14" s="9">
        <f>IF(C14="","",SUMIFS(Lines!$N$2:$N$500,Lines!$E$2:$E$500,C14,Lines!$A$2:$A$500,"line",Lines!$O$2:$O$500,"PRODUCT"))</f>
        <v/>
      </c>
      <c r="U14" s="2">
        <f>IF(C14="","",IF(S14=0,"no stated total",IF(ABS(S14-T14)&gt;Settings!$B$2,"MISMATCH","ok")))</f>
        <v/>
      </c>
      <c r="V14" s="9">
        <f>IF(C14="","",SUMIFS(Lines!$N$2:$N$500,Lines!$E$2:$E$500,C14,Lines!$A$2:$A$500,"total",Lines!$O$2:$O$500,"ALLOWANCE"))</f>
        <v/>
      </c>
      <c r="W14" s="9">
        <f>IF(C14="","",SUMIFS(Lines!$N$2:$N$500,Lines!$E$2:$E$500,C14,Lines!$A$2:$A$500,"line",Lines!$O$2:$O$500,"ALLOWANCE"))</f>
        <v/>
      </c>
      <c r="X14" s="2">
        <f>IF(C14="","",IF(V14=0,"no stated total",IF(ABS(V14-W14)&gt;Settings!$B$2,"MISMATCH","ok")))</f>
        <v/>
      </c>
      <c r="Y14" s="9">
        <f>IF(C14="","",SUMIFS(Lines!$N$2:$N$500,Lines!$E$2:$E$500,C14,Lines!$A$2:$A$500,"total",Lines!$O$2:$O$500,"GRAND"))</f>
        <v/>
      </c>
      <c r="Z14" s="9">
        <f>IF(C14="","",SUMIFS(Lines!$N$2:$N$500,Lines!$E$2:$E$500,C14,Lines!$A$2:$A$500,"line"))</f>
        <v/>
      </c>
      <c r="AA14" s="2">
        <f>IF(C14="","",IF(Y14=0,"no stated total",IF(ABS(Y14-Z14)&gt;Settings!$B$2,"MISMATCH","ok")))</f>
        <v/>
      </c>
      <c r="AB14" s="2">
        <f>IF(C14="","",COUNTIFS(Lines!$E$2:$E$500,C14,Lines!$A$2:$A$500,"coverage"))</f>
        <v/>
      </c>
      <c r="AC14" s="2">
        <f>IF(C14="","",IF(LEN(IF(O14="MISMATCH","lines do not sum to stated total (LABOUR_ALL); ","")&amp;IF(R14="MISMATCH","lines do not sum to stated total (INSTALL); ","")&amp;IF(U14="MISMATCH","lines do not sum to stated total (PRODUCT); ","")&amp;IF(X14="MISMATCH","lines do not sum to stated total (ALLOWANCE); ","")&amp;IF(AA14="MISMATCH","lines do not sum to grand total; ","")&amp;IF(OR(I14="1-"&amp;H14,AND(H14=1,I14="1")),"","pages not read; ")&amp;IF(K14="N","extracted without mapping table; ","")&amp;IF(AB14&gt;1,"document extracted twice; ",""))&gt;2,LEFT(IF(O14="MISMATCH","lines do not sum to stated total (LABOUR_ALL); ","")&amp;IF(R14="MISMATCH","lines do not sum to stated total (INSTALL); ","")&amp;IF(U14="MISMATCH","lines do not sum to stated total (PRODUCT); ","")&amp;IF(X14="MISMATCH","lines do not sum to stated total (ALLOWANCE); ","")&amp;IF(AA14="MISMATCH","lines do not sum to grand total; ","")&amp;IF(OR(I14="1-"&amp;H14,AND(H14=1,I14="1")),"","pages not read; ")&amp;IF(K14="N","extracted without mapping table; ","")&amp;IF(AB14&gt;1,"document extracted twice; ",""),LEN(IF(O14="MISMATCH","lines do not sum to stated total (LABOUR_ALL); ","")&amp;IF(R14="MISMATCH","lines do not sum to stated total (INSTALL); ","")&amp;IF(U14="MISMATCH","lines do not sum to stated total (PRODUCT); ","")&amp;IF(X14="MISMATCH","lines do not sum to stated total (ALLOWANCE); ","")&amp;IF(AA14="MISMATCH","lines do not sum to grand total; ","")&amp;IF(OR(I14="1-"&amp;H14,AND(H14=1,I14="1")),"","pages not read; ")&amp;IF(K14="N","extracted without mapping table; ","")&amp;IF(AB14&gt;1,"document extracted twice; ",""))-2),""))</f>
        <v/>
      </c>
      <c r="AD14" s="2">
        <f>IF(AC14&lt;&gt;"",MAX($AD$1:AD13)+1,"")</f>
        <v/>
      </c>
    </row>
    <row r="15">
      <c r="A15" s="2" t="n">
        <v>14</v>
      </c>
      <c r="B15" s="2">
        <f>IFERROR(MATCH(A15,Lines!$AF$2:$AF$500,0),"")</f>
        <v/>
      </c>
      <c r="C15" s="2">
        <f>IF(B15="","",INDEX(Lines!$E$2:$E$500,B15)&amp;"")</f>
        <v/>
      </c>
      <c r="D15" s="2">
        <f>IF(B15="","",INDEX(Lines!$B$2:$B$500,B15)&amp;"")</f>
        <v/>
      </c>
      <c r="E15" s="2">
        <f>IF(B15="","",INDEX(Lines!$C$2:$C$500,B15)&amp;"")</f>
        <v/>
      </c>
      <c r="F15" s="2">
        <f>IF(B15="","",INDEX(Lines!$D$2:$D$500,B15)&amp;"")</f>
        <v/>
      </c>
      <c r="G15" s="2">
        <f>IF(B15="","",INDEX(Lines!$F$2:$F$500,B15)&amp;"")</f>
        <v/>
      </c>
      <c r="H15" s="2">
        <f>IF(B15="","",INDEX(Lines!$R$2:$R$500,B15))</f>
        <v/>
      </c>
      <c r="I15" s="2">
        <f>IF(B15="","",INDEX(Lines!$S$2:$S$500,B15)&amp;"")</f>
        <v/>
      </c>
      <c r="J15" s="2">
        <f>IF(B15="","",INDEX(Lines!$T$2:$T$500,B15)&amp;"")</f>
        <v/>
      </c>
      <c r="K15" s="2">
        <f>IF(B15="","",INDEX(Lines!$U$2:$U$500,B15)&amp;"")</f>
        <v/>
      </c>
      <c r="L15" s="2">
        <f>IF(B15="","",INDEX(Lines!$V$2:$V$500,B15)&amp;"")</f>
        <v/>
      </c>
      <c r="M15" s="9">
        <f>IF(C15="","",SUMIFS(Lines!$N$2:$N$500,Lines!$E$2:$E$500,C15,Lines!$A$2:$A$500,"total",Lines!$X$2:$X$500,"LABOUR_ALL"))</f>
        <v/>
      </c>
      <c r="N15" s="9">
        <f>IF(C15="","",SUMIFS(Lines!$N$2:$N$500,Lines!$E$2:$E$500,C15,Lines!$A$2:$A$500,"line",Lines!$X$2:$X$500,"LABOUR_ALL"))</f>
        <v/>
      </c>
      <c r="O15" s="2">
        <f>IF(C15="","",IF(M15=0,"no stated total",IF(ABS(M15-N15)&gt;Settings!$B$2,"MISMATCH","ok")))</f>
        <v/>
      </c>
      <c r="P15" s="9">
        <f>IF(C15="","",SUMIFS(Lines!$N$2:$N$500,Lines!$E$2:$E$500,C15,Lines!$A$2:$A$500,"total",Lines!$O$2:$O$500,"INSTALL"))</f>
        <v/>
      </c>
      <c r="Q15" s="9">
        <f>IF(C15="","",SUMIFS(Lines!$N$2:$N$500,Lines!$E$2:$E$500,C15,Lines!$A$2:$A$500,"line",Lines!$O$2:$O$500,"INSTALL"))</f>
        <v/>
      </c>
      <c r="R15" s="2">
        <f>IF(C15="","",IF(P15=0,"no stated total",IF(ABS(P15-Q15)&gt;Settings!$B$2,"MISMATCH","ok")))</f>
        <v/>
      </c>
      <c r="S15" s="9">
        <f>IF(C15="","",SUMIFS(Lines!$N$2:$N$500,Lines!$E$2:$E$500,C15,Lines!$A$2:$A$500,"total",Lines!$O$2:$O$500,"PRODUCT"))</f>
        <v/>
      </c>
      <c r="T15" s="9">
        <f>IF(C15="","",SUMIFS(Lines!$N$2:$N$500,Lines!$E$2:$E$500,C15,Lines!$A$2:$A$500,"line",Lines!$O$2:$O$500,"PRODUCT"))</f>
        <v/>
      </c>
      <c r="U15" s="2">
        <f>IF(C15="","",IF(S15=0,"no stated total",IF(ABS(S15-T15)&gt;Settings!$B$2,"MISMATCH","ok")))</f>
        <v/>
      </c>
      <c r="V15" s="9">
        <f>IF(C15="","",SUMIFS(Lines!$N$2:$N$500,Lines!$E$2:$E$500,C15,Lines!$A$2:$A$500,"total",Lines!$O$2:$O$500,"ALLOWANCE"))</f>
        <v/>
      </c>
      <c r="W15" s="9">
        <f>IF(C15="","",SUMIFS(Lines!$N$2:$N$500,Lines!$E$2:$E$500,C15,Lines!$A$2:$A$500,"line",Lines!$O$2:$O$500,"ALLOWANCE"))</f>
        <v/>
      </c>
      <c r="X15" s="2">
        <f>IF(C15="","",IF(V15=0,"no stated total",IF(ABS(V15-W15)&gt;Settings!$B$2,"MISMATCH","ok")))</f>
        <v/>
      </c>
      <c r="Y15" s="9">
        <f>IF(C15="","",SUMIFS(Lines!$N$2:$N$500,Lines!$E$2:$E$500,C15,Lines!$A$2:$A$500,"total",Lines!$O$2:$O$500,"GRAND"))</f>
        <v/>
      </c>
      <c r="Z15" s="9">
        <f>IF(C15="","",SUMIFS(Lines!$N$2:$N$500,Lines!$E$2:$E$500,C15,Lines!$A$2:$A$500,"line"))</f>
        <v/>
      </c>
      <c r="AA15" s="2">
        <f>IF(C15="","",IF(Y15=0,"no stated total",IF(ABS(Y15-Z15)&gt;Settings!$B$2,"MISMATCH","ok")))</f>
        <v/>
      </c>
      <c r="AB15" s="2">
        <f>IF(C15="","",COUNTIFS(Lines!$E$2:$E$500,C15,Lines!$A$2:$A$500,"coverage"))</f>
        <v/>
      </c>
      <c r="AC15" s="2">
        <f>IF(C15="","",IF(LEN(IF(O15="MISMATCH","lines do not sum to stated total (LABOUR_ALL); ","")&amp;IF(R15="MISMATCH","lines do not sum to stated total (INSTALL); ","")&amp;IF(U15="MISMATCH","lines do not sum to stated total (PRODUCT); ","")&amp;IF(X15="MISMATCH","lines do not sum to stated total (ALLOWANCE); ","")&amp;IF(AA15="MISMATCH","lines do not sum to grand total; ","")&amp;IF(OR(I15="1-"&amp;H15,AND(H15=1,I15="1")),"","pages not read; ")&amp;IF(K15="N","extracted without mapping table; ","")&amp;IF(AB15&gt;1,"document extracted twice; ",""))&gt;2,LEFT(IF(O15="MISMATCH","lines do not sum to stated total (LABOUR_ALL); ","")&amp;IF(R15="MISMATCH","lines do not sum to stated total (INSTALL); ","")&amp;IF(U15="MISMATCH","lines do not sum to stated total (PRODUCT); ","")&amp;IF(X15="MISMATCH","lines do not sum to stated total (ALLOWANCE); ","")&amp;IF(AA15="MISMATCH","lines do not sum to grand total; ","")&amp;IF(OR(I15="1-"&amp;H15,AND(H15=1,I15="1")),"","pages not read; ")&amp;IF(K15="N","extracted without mapping table; ","")&amp;IF(AB15&gt;1,"document extracted twice; ",""),LEN(IF(O15="MISMATCH","lines do not sum to stated total (LABOUR_ALL); ","")&amp;IF(R15="MISMATCH","lines do not sum to stated total (INSTALL); ","")&amp;IF(U15="MISMATCH","lines do not sum to stated total (PRODUCT); ","")&amp;IF(X15="MISMATCH","lines do not sum to stated total (ALLOWANCE); ","")&amp;IF(AA15="MISMATCH","lines do not sum to grand total; ","")&amp;IF(OR(I15="1-"&amp;H15,AND(H15=1,I15="1")),"","pages not read; ")&amp;IF(K15="N","extracted without mapping table; ","")&amp;IF(AB15&gt;1,"document extracted twice; ",""))-2),""))</f>
        <v/>
      </c>
      <c r="AD15" s="2">
        <f>IF(AC15&lt;&gt;"",MAX($AD$1:AD14)+1,"")</f>
        <v/>
      </c>
    </row>
    <row r="16">
      <c r="A16" s="2" t="n">
        <v>15</v>
      </c>
      <c r="B16" s="2">
        <f>IFERROR(MATCH(A16,Lines!$AF$2:$AF$500,0),"")</f>
        <v/>
      </c>
      <c r="C16" s="2">
        <f>IF(B16="","",INDEX(Lines!$E$2:$E$500,B16)&amp;"")</f>
        <v/>
      </c>
      <c r="D16" s="2">
        <f>IF(B16="","",INDEX(Lines!$B$2:$B$500,B16)&amp;"")</f>
        <v/>
      </c>
      <c r="E16" s="2">
        <f>IF(B16="","",INDEX(Lines!$C$2:$C$500,B16)&amp;"")</f>
        <v/>
      </c>
      <c r="F16" s="2">
        <f>IF(B16="","",INDEX(Lines!$D$2:$D$500,B16)&amp;"")</f>
        <v/>
      </c>
      <c r="G16" s="2">
        <f>IF(B16="","",INDEX(Lines!$F$2:$F$500,B16)&amp;"")</f>
        <v/>
      </c>
      <c r="H16" s="2">
        <f>IF(B16="","",INDEX(Lines!$R$2:$R$500,B16))</f>
        <v/>
      </c>
      <c r="I16" s="2">
        <f>IF(B16="","",INDEX(Lines!$S$2:$S$500,B16)&amp;"")</f>
        <v/>
      </c>
      <c r="J16" s="2">
        <f>IF(B16="","",INDEX(Lines!$T$2:$T$500,B16)&amp;"")</f>
        <v/>
      </c>
      <c r="K16" s="2">
        <f>IF(B16="","",INDEX(Lines!$U$2:$U$500,B16)&amp;"")</f>
        <v/>
      </c>
      <c r="L16" s="2">
        <f>IF(B16="","",INDEX(Lines!$V$2:$V$500,B16)&amp;"")</f>
        <v/>
      </c>
      <c r="M16" s="9">
        <f>IF(C16="","",SUMIFS(Lines!$N$2:$N$500,Lines!$E$2:$E$500,C16,Lines!$A$2:$A$500,"total",Lines!$X$2:$X$500,"LABOUR_ALL"))</f>
        <v/>
      </c>
      <c r="N16" s="9">
        <f>IF(C16="","",SUMIFS(Lines!$N$2:$N$500,Lines!$E$2:$E$500,C16,Lines!$A$2:$A$500,"line",Lines!$X$2:$X$500,"LABOUR_ALL"))</f>
        <v/>
      </c>
      <c r="O16" s="2">
        <f>IF(C16="","",IF(M16=0,"no stated total",IF(ABS(M16-N16)&gt;Settings!$B$2,"MISMATCH","ok")))</f>
        <v/>
      </c>
      <c r="P16" s="9">
        <f>IF(C16="","",SUMIFS(Lines!$N$2:$N$500,Lines!$E$2:$E$500,C16,Lines!$A$2:$A$500,"total",Lines!$O$2:$O$500,"INSTALL"))</f>
        <v/>
      </c>
      <c r="Q16" s="9">
        <f>IF(C16="","",SUMIFS(Lines!$N$2:$N$500,Lines!$E$2:$E$500,C16,Lines!$A$2:$A$500,"line",Lines!$O$2:$O$500,"INSTALL"))</f>
        <v/>
      </c>
      <c r="R16" s="2">
        <f>IF(C16="","",IF(P16=0,"no stated total",IF(ABS(P16-Q16)&gt;Settings!$B$2,"MISMATCH","ok")))</f>
        <v/>
      </c>
      <c r="S16" s="9">
        <f>IF(C16="","",SUMIFS(Lines!$N$2:$N$500,Lines!$E$2:$E$500,C16,Lines!$A$2:$A$500,"total",Lines!$O$2:$O$500,"PRODUCT"))</f>
        <v/>
      </c>
      <c r="T16" s="9">
        <f>IF(C16="","",SUMIFS(Lines!$N$2:$N$500,Lines!$E$2:$E$500,C16,Lines!$A$2:$A$500,"line",Lines!$O$2:$O$500,"PRODUCT"))</f>
        <v/>
      </c>
      <c r="U16" s="2">
        <f>IF(C16="","",IF(S16=0,"no stated total",IF(ABS(S16-T16)&gt;Settings!$B$2,"MISMATCH","ok")))</f>
        <v/>
      </c>
      <c r="V16" s="9">
        <f>IF(C16="","",SUMIFS(Lines!$N$2:$N$500,Lines!$E$2:$E$500,C16,Lines!$A$2:$A$500,"total",Lines!$O$2:$O$500,"ALLOWANCE"))</f>
        <v/>
      </c>
      <c r="W16" s="9">
        <f>IF(C16="","",SUMIFS(Lines!$N$2:$N$500,Lines!$E$2:$E$500,C16,Lines!$A$2:$A$500,"line",Lines!$O$2:$O$500,"ALLOWANCE"))</f>
        <v/>
      </c>
      <c r="X16" s="2">
        <f>IF(C16="","",IF(V16=0,"no stated total",IF(ABS(V16-W16)&gt;Settings!$B$2,"MISMATCH","ok")))</f>
        <v/>
      </c>
      <c r="Y16" s="9">
        <f>IF(C16="","",SUMIFS(Lines!$N$2:$N$500,Lines!$E$2:$E$500,C16,Lines!$A$2:$A$500,"total",Lines!$O$2:$O$500,"GRAND"))</f>
        <v/>
      </c>
      <c r="Z16" s="9">
        <f>IF(C16="","",SUMIFS(Lines!$N$2:$N$500,Lines!$E$2:$E$500,C16,Lines!$A$2:$A$500,"line"))</f>
        <v/>
      </c>
      <c r="AA16" s="2">
        <f>IF(C16="","",IF(Y16=0,"no stated total",IF(ABS(Y16-Z16)&gt;Settings!$B$2,"MISMATCH","ok")))</f>
        <v/>
      </c>
      <c r="AB16" s="2">
        <f>IF(C16="","",COUNTIFS(Lines!$E$2:$E$500,C16,Lines!$A$2:$A$500,"coverage"))</f>
        <v/>
      </c>
      <c r="AC16" s="2">
        <f>IF(C16="","",IF(LEN(IF(O16="MISMATCH","lines do not sum to stated total (LABOUR_ALL); ","")&amp;IF(R16="MISMATCH","lines do not sum to stated total (INSTALL); ","")&amp;IF(U16="MISMATCH","lines do not sum to stated total (PRODUCT); ","")&amp;IF(X16="MISMATCH","lines do not sum to stated total (ALLOWANCE); ","")&amp;IF(AA16="MISMATCH","lines do not sum to grand total; ","")&amp;IF(OR(I16="1-"&amp;H16,AND(H16=1,I16="1")),"","pages not read; ")&amp;IF(K16="N","extracted without mapping table; ","")&amp;IF(AB16&gt;1,"document extracted twice; ",""))&gt;2,LEFT(IF(O16="MISMATCH","lines do not sum to stated total (LABOUR_ALL); ","")&amp;IF(R16="MISMATCH","lines do not sum to stated total (INSTALL); ","")&amp;IF(U16="MISMATCH","lines do not sum to stated total (PRODUCT); ","")&amp;IF(X16="MISMATCH","lines do not sum to stated total (ALLOWANCE); ","")&amp;IF(AA16="MISMATCH","lines do not sum to grand total; ","")&amp;IF(OR(I16="1-"&amp;H16,AND(H16=1,I16="1")),"","pages not read; ")&amp;IF(K16="N","extracted without mapping table; ","")&amp;IF(AB16&gt;1,"document extracted twice; ",""),LEN(IF(O16="MISMATCH","lines do not sum to stated total (LABOUR_ALL); ","")&amp;IF(R16="MISMATCH","lines do not sum to stated total (INSTALL); ","")&amp;IF(U16="MISMATCH","lines do not sum to stated total (PRODUCT); ","")&amp;IF(X16="MISMATCH","lines do not sum to stated total (ALLOWANCE); ","")&amp;IF(AA16="MISMATCH","lines do not sum to grand total; ","")&amp;IF(OR(I16="1-"&amp;H16,AND(H16=1,I16="1")),"","pages not read; ")&amp;IF(K16="N","extracted without mapping table; ","")&amp;IF(AB16&gt;1,"document extracted twice; ",""))-2),""))</f>
        <v/>
      </c>
      <c r="AD16" s="2">
        <f>IF(AC16&lt;&gt;"",MAX($AD$1:AD15)+1,"")</f>
        <v/>
      </c>
    </row>
    <row r="17">
      <c r="A17" s="2" t="n">
        <v>16</v>
      </c>
      <c r="B17" s="2">
        <f>IFERROR(MATCH(A17,Lines!$AF$2:$AF$500,0),"")</f>
        <v/>
      </c>
      <c r="C17" s="2">
        <f>IF(B17="","",INDEX(Lines!$E$2:$E$500,B17)&amp;"")</f>
        <v/>
      </c>
      <c r="D17" s="2">
        <f>IF(B17="","",INDEX(Lines!$B$2:$B$500,B17)&amp;"")</f>
        <v/>
      </c>
      <c r="E17" s="2">
        <f>IF(B17="","",INDEX(Lines!$C$2:$C$500,B17)&amp;"")</f>
        <v/>
      </c>
      <c r="F17" s="2">
        <f>IF(B17="","",INDEX(Lines!$D$2:$D$500,B17)&amp;"")</f>
        <v/>
      </c>
      <c r="G17" s="2">
        <f>IF(B17="","",INDEX(Lines!$F$2:$F$500,B17)&amp;"")</f>
        <v/>
      </c>
      <c r="H17" s="2">
        <f>IF(B17="","",INDEX(Lines!$R$2:$R$500,B17))</f>
        <v/>
      </c>
      <c r="I17" s="2">
        <f>IF(B17="","",INDEX(Lines!$S$2:$S$500,B17)&amp;"")</f>
        <v/>
      </c>
      <c r="J17" s="2">
        <f>IF(B17="","",INDEX(Lines!$T$2:$T$500,B17)&amp;"")</f>
        <v/>
      </c>
      <c r="K17" s="2">
        <f>IF(B17="","",INDEX(Lines!$U$2:$U$500,B17)&amp;"")</f>
        <v/>
      </c>
      <c r="L17" s="2">
        <f>IF(B17="","",INDEX(Lines!$V$2:$V$500,B17)&amp;"")</f>
        <v/>
      </c>
      <c r="M17" s="9">
        <f>IF(C17="","",SUMIFS(Lines!$N$2:$N$500,Lines!$E$2:$E$500,C17,Lines!$A$2:$A$500,"total",Lines!$X$2:$X$500,"LABOUR_ALL"))</f>
        <v/>
      </c>
      <c r="N17" s="9">
        <f>IF(C17="","",SUMIFS(Lines!$N$2:$N$500,Lines!$E$2:$E$500,C17,Lines!$A$2:$A$500,"line",Lines!$X$2:$X$500,"LABOUR_ALL"))</f>
        <v/>
      </c>
      <c r="O17" s="2">
        <f>IF(C17="","",IF(M17=0,"no stated total",IF(ABS(M17-N17)&gt;Settings!$B$2,"MISMATCH","ok")))</f>
        <v/>
      </c>
      <c r="P17" s="9">
        <f>IF(C17="","",SUMIFS(Lines!$N$2:$N$500,Lines!$E$2:$E$500,C17,Lines!$A$2:$A$500,"total",Lines!$O$2:$O$500,"INSTALL"))</f>
        <v/>
      </c>
      <c r="Q17" s="9">
        <f>IF(C17="","",SUMIFS(Lines!$N$2:$N$500,Lines!$E$2:$E$500,C17,Lines!$A$2:$A$500,"line",Lines!$O$2:$O$500,"INSTALL"))</f>
        <v/>
      </c>
      <c r="R17" s="2">
        <f>IF(C17="","",IF(P17=0,"no stated total",IF(ABS(P17-Q17)&gt;Settings!$B$2,"MISMATCH","ok")))</f>
        <v/>
      </c>
      <c r="S17" s="9">
        <f>IF(C17="","",SUMIFS(Lines!$N$2:$N$500,Lines!$E$2:$E$500,C17,Lines!$A$2:$A$500,"total",Lines!$O$2:$O$500,"PRODUCT"))</f>
        <v/>
      </c>
      <c r="T17" s="9">
        <f>IF(C17="","",SUMIFS(Lines!$N$2:$N$500,Lines!$E$2:$E$500,C17,Lines!$A$2:$A$500,"line",Lines!$O$2:$O$500,"PRODUCT"))</f>
        <v/>
      </c>
      <c r="U17" s="2">
        <f>IF(C17="","",IF(S17=0,"no stated total",IF(ABS(S17-T17)&gt;Settings!$B$2,"MISMATCH","ok")))</f>
        <v/>
      </c>
      <c r="V17" s="9">
        <f>IF(C17="","",SUMIFS(Lines!$N$2:$N$500,Lines!$E$2:$E$500,C17,Lines!$A$2:$A$500,"total",Lines!$O$2:$O$500,"ALLOWANCE"))</f>
        <v/>
      </c>
      <c r="W17" s="9">
        <f>IF(C17="","",SUMIFS(Lines!$N$2:$N$500,Lines!$E$2:$E$500,C17,Lines!$A$2:$A$500,"line",Lines!$O$2:$O$500,"ALLOWANCE"))</f>
        <v/>
      </c>
      <c r="X17" s="2">
        <f>IF(C17="","",IF(V17=0,"no stated total",IF(ABS(V17-W17)&gt;Settings!$B$2,"MISMATCH","ok")))</f>
        <v/>
      </c>
      <c r="Y17" s="9">
        <f>IF(C17="","",SUMIFS(Lines!$N$2:$N$500,Lines!$E$2:$E$500,C17,Lines!$A$2:$A$500,"total",Lines!$O$2:$O$500,"GRAND"))</f>
        <v/>
      </c>
      <c r="Z17" s="9">
        <f>IF(C17="","",SUMIFS(Lines!$N$2:$N$500,Lines!$E$2:$E$500,C17,Lines!$A$2:$A$500,"line"))</f>
        <v/>
      </c>
      <c r="AA17" s="2">
        <f>IF(C17="","",IF(Y17=0,"no stated total",IF(ABS(Y17-Z17)&gt;Settings!$B$2,"MISMATCH","ok")))</f>
        <v/>
      </c>
      <c r="AB17" s="2">
        <f>IF(C17="","",COUNTIFS(Lines!$E$2:$E$500,C17,Lines!$A$2:$A$500,"coverage"))</f>
        <v/>
      </c>
      <c r="AC17" s="2">
        <f>IF(C17="","",IF(LEN(IF(O17="MISMATCH","lines do not sum to stated total (LABOUR_ALL); ","")&amp;IF(R17="MISMATCH","lines do not sum to stated total (INSTALL); ","")&amp;IF(U17="MISMATCH","lines do not sum to stated total (PRODUCT); ","")&amp;IF(X17="MISMATCH","lines do not sum to stated total (ALLOWANCE); ","")&amp;IF(AA17="MISMATCH","lines do not sum to grand total; ","")&amp;IF(OR(I17="1-"&amp;H17,AND(H17=1,I17="1")),"","pages not read; ")&amp;IF(K17="N","extracted without mapping table; ","")&amp;IF(AB17&gt;1,"document extracted twice; ",""))&gt;2,LEFT(IF(O17="MISMATCH","lines do not sum to stated total (LABOUR_ALL); ","")&amp;IF(R17="MISMATCH","lines do not sum to stated total (INSTALL); ","")&amp;IF(U17="MISMATCH","lines do not sum to stated total (PRODUCT); ","")&amp;IF(X17="MISMATCH","lines do not sum to stated total (ALLOWANCE); ","")&amp;IF(AA17="MISMATCH","lines do not sum to grand total; ","")&amp;IF(OR(I17="1-"&amp;H17,AND(H17=1,I17="1")),"","pages not read; ")&amp;IF(K17="N","extracted without mapping table; ","")&amp;IF(AB17&gt;1,"document extracted twice; ",""),LEN(IF(O17="MISMATCH","lines do not sum to stated total (LABOUR_ALL); ","")&amp;IF(R17="MISMATCH","lines do not sum to stated total (INSTALL); ","")&amp;IF(U17="MISMATCH","lines do not sum to stated total (PRODUCT); ","")&amp;IF(X17="MISMATCH","lines do not sum to stated total (ALLOWANCE); ","")&amp;IF(AA17="MISMATCH","lines do not sum to grand total; ","")&amp;IF(OR(I17="1-"&amp;H17,AND(H17=1,I17="1")),"","pages not read; ")&amp;IF(K17="N","extracted without mapping table; ","")&amp;IF(AB17&gt;1,"document extracted twice; ",""))-2),""))</f>
        <v/>
      </c>
      <c r="AD17" s="2">
        <f>IF(AC17&lt;&gt;"",MAX($AD$1:AD16)+1,"")</f>
        <v/>
      </c>
    </row>
    <row r="18">
      <c r="A18" s="2" t="n">
        <v>17</v>
      </c>
      <c r="B18" s="2">
        <f>IFERROR(MATCH(A18,Lines!$AF$2:$AF$500,0),"")</f>
        <v/>
      </c>
      <c r="C18" s="2">
        <f>IF(B18="","",INDEX(Lines!$E$2:$E$500,B18)&amp;"")</f>
        <v/>
      </c>
      <c r="D18" s="2">
        <f>IF(B18="","",INDEX(Lines!$B$2:$B$500,B18)&amp;"")</f>
        <v/>
      </c>
      <c r="E18" s="2">
        <f>IF(B18="","",INDEX(Lines!$C$2:$C$500,B18)&amp;"")</f>
        <v/>
      </c>
      <c r="F18" s="2">
        <f>IF(B18="","",INDEX(Lines!$D$2:$D$500,B18)&amp;"")</f>
        <v/>
      </c>
      <c r="G18" s="2">
        <f>IF(B18="","",INDEX(Lines!$F$2:$F$500,B18)&amp;"")</f>
        <v/>
      </c>
      <c r="H18" s="2">
        <f>IF(B18="","",INDEX(Lines!$R$2:$R$500,B18))</f>
        <v/>
      </c>
      <c r="I18" s="2">
        <f>IF(B18="","",INDEX(Lines!$S$2:$S$500,B18)&amp;"")</f>
        <v/>
      </c>
      <c r="J18" s="2">
        <f>IF(B18="","",INDEX(Lines!$T$2:$T$500,B18)&amp;"")</f>
        <v/>
      </c>
      <c r="K18" s="2">
        <f>IF(B18="","",INDEX(Lines!$U$2:$U$500,B18)&amp;"")</f>
        <v/>
      </c>
      <c r="L18" s="2">
        <f>IF(B18="","",INDEX(Lines!$V$2:$V$500,B18)&amp;"")</f>
        <v/>
      </c>
      <c r="M18" s="9">
        <f>IF(C18="","",SUMIFS(Lines!$N$2:$N$500,Lines!$E$2:$E$500,C18,Lines!$A$2:$A$500,"total",Lines!$X$2:$X$500,"LABOUR_ALL"))</f>
        <v/>
      </c>
      <c r="N18" s="9">
        <f>IF(C18="","",SUMIFS(Lines!$N$2:$N$500,Lines!$E$2:$E$500,C18,Lines!$A$2:$A$500,"line",Lines!$X$2:$X$500,"LABOUR_ALL"))</f>
        <v/>
      </c>
      <c r="O18" s="2">
        <f>IF(C18="","",IF(M18=0,"no stated total",IF(ABS(M18-N18)&gt;Settings!$B$2,"MISMATCH","ok")))</f>
        <v/>
      </c>
      <c r="P18" s="9">
        <f>IF(C18="","",SUMIFS(Lines!$N$2:$N$500,Lines!$E$2:$E$500,C18,Lines!$A$2:$A$500,"total",Lines!$O$2:$O$500,"INSTALL"))</f>
        <v/>
      </c>
      <c r="Q18" s="9">
        <f>IF(C18="","",SUMIFS(Lines!$N$2:$N$500,Lines!$E$2:$E$500,C18,Lines!$A$2:$A$500,"line",Lines!$O$2:$O$500,"INSTALL"))</f>
        <v/>
      </c>
      <c r="R18" s="2">
        <f>IF(C18="","",IF(P18=0,"no stated total",IF(ABS(P18-Q18)&gt;Settings!$B$2,"MISMATCH","ok")))</f>
        <v/>
      </c>
      <c r="S18" s="9">
        <f>IF(C18="","",SUMIFS(Lines!$N$2:$N$500,Lines!$E$2:$E$500,C18,Lines!$A$2:$A$500,"total",Lines!$O$2:$O$500,"PRODUCT"))</f>
        <v/>
      </c>
      <c r="T18" s="9">
        <f>IF(C18="","",SUMIFS(Lines!$N$2:$N$500,Lines!$E$2:$E$500,C18,Lines!$A$2:$A$500,"line",Lines!$O$2:$O$500,"PRODUCT"))</f>
        <v/>
      </c>
      <c r="U18" s="2">
        <f>IF(C18="","",IF(S18=0,"no stated total",IF(ABS(S18-T18)&gt;Settings!$B$2,"MISMATCH","ok")))</f>
        <v/>
      </c>
      <c r="V18" s="9">
        <f>IF(C18="","",SUMIFS(Lines!$N$2:$N$500,Lines!$E$2:$E$500,C18,Lines!$A$2:$A$500,"total",Lines!$O$2:$O$500,"ALLOWANCE"))</f>
        <v/>
      </c>
      <c r="W18" s="9">
        <f>IF(C18="","",SUMIFS(Lines!$N$2:$N$500,Lines!$E$2:$E$500,C18,Lines!$A$2:$A$500,"line",Lines!$O$2:$O$500,"ALLOWANCE"))</f>
        <v/>
      </c>
      <c r="X18" s="2">
        <f>IF(C18="","",IF(V18=0,"no stated total",IF(ABS(V18-W18)&gt;Settings!$B$2,"MISMATCH","ok")))</f>
        <v/>
      </c>
      <c r="Y18" s="9">
        <f>IF(C18="","",SUMIFS(Lines!$N$2:$N$500,Lines!$E$2:$E$500,C18,Lines!$A$2:$A$500,"total",Lines!$O$2:$O$500,"GRAND"))</f>
        <v/>
      </c>
      <c r="Z18" s="9">
        <f>IF(C18="","",SUMIFS(Lines!$N$2:$N$500,Lines!$E$2:$E$500,C18,Lines!$A$2:$A$500,"line"))</f>
        <v/>
      </c>
      <c r="AA18" s="2">
        <f>IF(C18="","",IF(Y18=0,"no stated total",IF(ABS(Y18-Z18)&gt;Settings!$B$2,"MISMATCH","ok")))</f>
        <v/>
      </c>
      <c r="AB18" s="2">
        <f>IF(C18="","",COUNTIFS(Lines!$E$2:$E$500,C18,Lines!$A$2:$A$500,"coverage"))</f>
        <v/>
      </c>
      <c r="AC18" s="2">
        <f>IF(C18="","",IF(LEN(IF(O18="MISMATCH","lines do not sum to stated total (LABOUR_ALL); ","")&amp;IF(R18="MISMATCH","lines do not sum to stated total (INSTALL); ","")&amp;IF(U18="MISMATCH","lines do not sum to stated total (PRODUCT); ","")&amp;IF(X18="MISMATCH","lines do not sum to stated total (ALLOWANCE); ","")&amp;IF(AA18="MISMATCH","lines do not sum to grand total; ","")&amp;IF(OR(I18="1-"&amp;H18,AND(H18=1,I18="1")),"","pages not read; ")&amp;IF(K18="N","extracted without mapping table; ","")&amp;IF(AB18&gt;1,"document extracted twice; ",""))&gt;2,LEFT(IF(O18="MISMATCH","lines do not sum to stated total (LABOUR_ALL); ","")&amp;IF(R18="MISMATCH","lines do not sum to stated total (INSTALL); ","")&amp;IF(U18="MISMATCH","lines do not sum to stated total (PRODUCT); ","")&amp;IF(X18="MISMATCH","lines do not sum to stated total (ALLOWANCE); ","")&amp;IF(AA18="MISMATCH","lines do not sum to grand total; ","")&amp;IF(OR(I18="1-"&amp;H18,AND(H18=1,I18="1")),"","pages not read; ")&amp;IF(K18="N","extracted without mapping table; ","")&amp;IF(AB18&gt;1,"document extracted twice; ",""),LEN(IF(O18="MISMATCH","lines do not sum to stated total (LABOUR_ALL); ","")&amp;IF(R18="MISMATCH","lines do not sum to stated total (INSTALL); ","")&amp;IF(U18="MISMATCH","lines do not sum to stated total (PRODUCT); ","")&amp;IF(X18="MISMATCH","lines do not sum to stated total (ALLOWANCE); ","")&amp;IF(AA18="MISMATCH","lines do not sum to grand total; ","")&amp;IF(OR(I18="1-"&amp;H18,AND(H18=1,I18="1")),"","pages not read; ")&amp;IF(K18="N","extracted without mapping table; ","")&amp;IF(AB18&gt;1,"document extracted twice; ",""))-2),""))</f>
        <v/>
      </c>
      <c r="AD18" s="2">
        <f>IF(AC18&lt;&gt;"",MAX($AD$1:AD17)+1,"")</f>
        <v/>
      </c>
    </row>
    <row r="19">
      <c r="A19" s="2" t="n">
        <v>18</v>
      </c>
      <c r="B19" s="2">
        <f>IFERROR(MATCH(A19,Lines!$AF$2:$AF$500,0),"")</f>
        <v/>
      </c>
      <c r="C19" s="2">
        <f>IF(B19="","",INDEX(Lines!$E$2:$E$500,B19)&amp;"")</f>
        <v/>
      </c>
      <c r="D19" s="2">
        <f>IF(B19="","",INDEX(Lines!$B$2:$B$500,B19)&amp;"")</f>
        <v/>
      </c>
      <c r="E19" s="2">
        <f>IF(B19="","",INDEX(Lines!$C$2:$C$500,B19)&amp;"")</f>
        <v/>
      </c>
      <c r="F19" s="2">
        <f>IF(B19="","",INDEX(Lines!$D$2:$D$500,B19)&amp;"")</f>
        <v/>
      </c>
      <c r="G19" s="2">
        <f>IF(B19="","",INDEX(Lines!$F$2:$F$500,B19)&amp;"")</f>
        <v/>
      </c>
      <c r="H19" s="2">
        <f>IF(B19="","",INDEX(Lines!$R$2:$R$500,B19))</f>
        <v/>
      </c>
      <c r="I19" s="2">
        <f>IF(B19="","",INDEX(Lines!$S$2:$S$500,B19)&amp;"")</f>
        <v/>
      </c>
      <c r="J19" s="2">
        <f>IF(B19="","",INDEX(Lines!$T$2:$T$500,B19)&amp;"")</f>
        <v/>
      </c>
      <c r="K19" s="2">
        <f>IF(B19="","",INDEX(Lines!$U$2:$U$500,B19)&amp;"")</f>
        <v/>
      </c>
      <c r="L19" s="2">
        <f>IF(B19="","",INDEX(Lines!$V$2:$V$500,B19)&amp;"")</f>
        <v/>
      </c>
      <c r="M19" s="9">
        <f>IF(C19="","",SUMIFS(Lines!$N$2:$N$500,Lines!$E$2:$E$500,C19,Lines!$A$2:$A$500,"total",Lines!$X$2:$X$500,"LABOUR_ALL"))</f>
        <v/>
      </c>
      <c r="N19" s="9">
        <f>IF(C19="","",SUMIFS(Lines!$N$2:$N$500,Lines!$E$2:$E$500,C19,Lines!$A$2:$A$500,"line",Lines!$X$2:$X$500,"LABOUR_ALL"))</f>
        <v/>
      </c>
      <c r="O19" s="2">
        <f>IF(C19="","",IF(M19=0,"no stated total",IF(ABS(M19-N19)&gt;Settings!$B$2,"MISMATCH","ok")))</f>
        <v/>
      </c>
      <c r="P19" s="9">
        <f>IF(C19="","",SUMIFS(Lines!$N$2:$N$500,Lines!$E$2:$E$500,C19,Lines!$A$2:$A$500,"total",Lines!$O$2:$O$500,"INSTALL"))</f>
        <v/>
      </c>
      <c r="Q19" s="9">
        <f>IF(C19="","",SUMIFS(Lines!$N$2:$N$500,Lines!$E$2:$E$500,C19,Lines!$A$2:$A$500,"line",Lines!$O$2:$O$500,"INSTALL"))</f>
        <v/>
      </c>
      <c r="R19" s="2">
        <f>IF(C19="","",IF(P19=0,"no stated total",IF(ABS(P19-Q19)&gt;Settings!$B$2,"MISMATCH","ok")))</f>
        <v/>
      </c>
      <c r="S19" s="9">
        <f>IF(C19="","",SUMIFS(Lines!$N$2:$N$500,Lines!$E$2:$E$500,C19,Lines!$A$2:$A$500,"total",Lines!$O$2:$O$500,"PRODUCT"))</f>
        <v/>
      </c>
      <c r="T19" s="9">
        <f>IF(C19="","",SUMIFS(Lines!$N$2:$N$500,Lines!$E$2:$E$500,C19,Lines!$A$2:$A$500,"line",Lines!$O$2:$O$500,"PRODUCT"))</f>
        <v/>
      </c>
      <c r="U19" s="2">
        <f>IF(C19="","",IF(S19=0,"no stated total",IF(ABS(S19-T19)&gt;Settings!$B$2,"MISMATCH","ok")))</f>
        <v/>
      </c>
      <c r="V19" s="9">
        <f>IF(C19="","",SUMIFS(Lines!$N$2:$N$500,Lines!$E$2:$E$500,C19,Lines!$A$2:$A$500,"total",Lines!$O$2:$O$500,"ALLOWANCE"))</f>
        <v/>
      </c>
      <c r="W19" s="9">
        <f>IF(C19="","",SUMIFS(Lines!$N$2:$N$500,Lines!$E$2:$E$500,C19,Lines!$A$2:$A$500,"line",Lines!$O$2:$O$500,"ALLOWANCE"))</f>
        <v/>
      </c>
      <c r="X19" s="2">
        <f>IF(C19="","",IF(V19=0,"no stated total",IF(ABS(V19-W19)&gt;Settings!$B$2,"MISMATCH","ok")))</f>
        <v/>
      </c>
      <c r="Y19" s="9">
        <f>IF(C19="","",SUMIFS(Lines!$N$2:$N$500,Lines!$E$2:$E$500,C19,Lines!$A$2:$A$500,"total",Lines!$O$2:$O$500,"GRAND"))</f>
        <v/>
      </c>
      <c r="Z19" s="9">
        <f>IF(C19="","",SUMIFS(Lines!$N$2:$N$500,Lines!$E$2:$E$500,C19,Lines!$A$2:$A$500,"line"))</f>
        <v/>
      </c>
      <c r="AA19" s="2">
        <f>IF(C19="","",IF(Y19=0,"no stated total",IF(ABS(Y19-Z19)&gt;Settings!$B$2,"MISMATCH","ok")))</f>
        <v/>
      </c>
      <c r="AB19" s="2">
        <f>IF(C19="","",COUNTIFS(Lines!$E$2:$E$500,C19,Lines!$A$2:$A$500,"coverage"))</f>
        <v/>
      </c>
      <c r="AC19" s="2">
        <f>IF(C19="","",IF(LEN(IF(O19="MISMATCH","lines do not sum to stated total (LABOUR_ALL); ","")&amp;IF(R19="MISMATCH","lines do not sum to stated total (INSTALL); ","")&amp;IF(U19="MISMATCH","lines do not sum to stated total (PRODUCT); ","")&amp;IF(X19="MISMATCH","lines do not sum to stated total (ALLOWANCE); ","")&amp;IF(AA19="MISMATCH","lines do not sum to grand total; ","")&amp;IF(OR(I19="1-"&amp;H19,AND(H19=1,I19="1")),"","pages not read; ")&amp;IF(K19="N","extracted without mapping table; ","")&amp;IF(AB19&gt;1,"document extracted twice; ",""))&gt;2,LEFT(IF(O19="MISMATCH","lines do not sum to stated total (LABOUR_ALL); ","")&amp;IF(R19="MISMATCH","lines do not sum to stated total (INSTALL); ","")&amp;IF(U19="MISMATCH","lines do not sum to stated total (PRODUCT); ","")&amp;IF(X19="MISMATCH","lines do not sum to stated total (ALLOWANCE); ","")&amp;IF(AA19="MISMATCH","lines do not sum to grand total; ","")&amp;IF(OR(I19="1-"&amp;H19,AND(H19=1,I19="1")),"","pages not read; ")&amp;IF(K19="N","extracted without mapping table; ","")&amp;IF(AB19&gt;1,"document extracted twice; ",""),LEN(IF(O19="MISMATCH","lines do not sum to stated total (LABOUR_ALL); ","")&amp;IF(R19="MISMATCH","lines do not sum to stated total (INSTALL); ","")&amp;IF(U19="MISMATCH","lines do not sum to stated total (PRODUCT); ","")&amp;IF(X19="MISMATCH","lines do not sum to stated total (ALLOWANCE); ","")&amp;IF(AA19="MISMATCH","lines do not sum to grand total; ","")&amp;IF(OR(I19="1-"&amp;H19,AND(H19=1,I19="1")),"","pages not read; ")&amp;IF(K19="N","extracted without mapping table; ","")&amp;IF(AB19&gt;1,"document extracted twice; ",""))-2),""))</f>
        <v/>
      </c>
      <c r="AD19" s="2">
        <f>IF(AC19&lt;&gt;"",MAX($AD$1:AD18)+1,"")</f>
        <v/>
      </c>
    </row>
    <row r="20">
      <c r="A20" s="2" t="n">
        <v>19</v>
      </c>
      <c r="B20" s="2">
        <f>IFERROR(MATCH(A20,Lines!$AF$2:$AF$500,0),"")</f>
        <v/>
      </c>
      <c r="C20" s="2">
        <f>IF(B20="","",INDEX(Lines!$E$2:$E$500,B20)&amp;"")</f>
        <v/>
      </c>
      <c r="D20" s="2">
        <f>IF(B20="","",INDEX(Lines!$B$2:$B$500,B20)&amp;"")</f>
        <v/>
      </c>
      <c r="E20" s="2">
        <f>IF(B20="","",INDEX(Lines!$C$2:$C$500,B20)&amp;"")</f>
        <v/>
      </c>
      <c r="F20" s="2">
        <f>IF(B20="","",INDEX(Lines!$D$2:$D$500,B20)&amp;"")</f>
        <v/>
      </c>
      <c r="G20" s="2">
        <f>IF(B20="","",INDEX(Lines!$F$2:$F$500,B20)&amp;"")</f>
        <v/>
      </c>
      <c r="H20" s="2">
        <f>IF(B20="","",INDEX(Lines!$R$2:$R$500,B20))</f>
        <v/>
      </c>
      <c r="I20" s="2">
        <f>IF(B20="","",INDEX(Lines!$S$2:$S$500,B20)&amp;"")</f>
        <v/>
      </c>
      <c r="J20" s="2">
        <f>IF(B20="","",INDEX(Lines!$T$2:$T$500,B20)&amp;"")</f>
        <v/>
      </c>
      <c r="K20" s="2">
        <f>IF(B20="","",INDEX(Lines!$U$2:$U$500,B20)&amp;"")</f>
        <v/>
      </c>
      <c r="L20" s="2">
        <f>IF(B20="","",INDEX(Lines!$V$2:$V$500,B20)&amp;"")</f>
        <v/>
      </c>
      <c r="M20" s="9">
        <f>IF(C20="","",SUMIFS(Lines!$N$2:$N$500,Lines!$E$2:$E$500,C20,Lines!$A$2:$A$500,"total",Lines!$X$2:$X$500,"LABOUR_ALL"))</f>
        <v/>
      </c>
      <c r="N20" s="9">
        <f>IF(C20="","",SUMIFS(Lines!$N$2:$N$500,Lines!$E$2:$E$500,C20,Lines!$A$2:$A$500,"line",Lines!$X$2:$X$500,"LABOUR_ALL"))</f>
        <v/>
      </c>
      <c r="O20" s="2">
        <f>IF(C20="","",IF(M20=0,"no stated total",IF(ABS(M20-N20)&gt;Settings!$B$2,"MISMATCH","ok")))</f>
        <v/>
      </c>
      <c r="P20" s="9">
        <f>IF(C20="","",SUMIFS(Lines!$N$2:$N$500,Lines!$E$2:$E$500,C20,Lines!$A$2:$A$500,"total",Lines!$O$2:$O$500,"INSTALL"))</f>
        <v/>
      </c>
      <c r="Q20" s="9">
        <f>IF(C20="","",SUMIFS(Lines!$N$2:$N$500,Lines!$E$2:$E$500,C20,Lines!$A$2:$A$500,"line",Lines!$O$2:$O$500,"INSTALL"))</f>
        <v/>
      </c>
      <c r="R20" s="2">
        <f>IF(C20="","",IF(P20=0,"no stated total",IF(ABS(P20-Q20)&gt;Settings!$B$2,"MISMATCH","ok")))</f>
        <v/>
      </c>
      <c r="S20" s="9">
        <f>IF(C20="","",SUMIFS(Lines!$N$2:$N$500,Lines!$E$2:$E$500,C20,Lines!$A$2:$A$500,"total",Lines!$O$2:$O$500,"PRODUCT"))</f>
        <v/>
      </c>
      <c r="T20" s="9">
        <f>IF(C20="","",SUMIFS(Lines!$N$2:$N$500,Lines!$E$2:$E$500,C20,Lines!$A$2:$A$500,"line",Lines!$O$2:$O$500,"PRODUCT"))</f>
        <v/>
      </c>
      <c r="U20" s="2">
        <f>IF(C20="","",IF(S20=0,"no stated total",IF(ABS(S20-T20)&gt;Settings!$B$2,"MISMATCH","ok")))</f>
        <v/>
      </c>
      <c r="V20" s="9">
        <f>IF(C20="","",SUMIFS(Lines!$N$2:$N$500,Lines!$E$2:$E$500,C20,Lines!$A$2:$A$500,"total",Lines!$O$2:$O$500,"ALLOWANCE"))</f>
        <v/>
      </c>
      <c r="W20" s="9">
        <f>IF(C20="","",SUMIFS(Lines!$N$2:$N$500,Lines!$E$2:$E$500,C20,Lines!$A$2:$A$500,"line",Lines!$O$2:$O$500,"ALLOWANCE"))</f>
        <v/>
      </c>
      <c r="X20" s="2">
        <f>IF(C20="","",IF(V20=0,"no stated total",IF(ABS(V20-W20)&gt;Settings!$B$2,"MISMATCH","ok")))</f>
        <v/>
      </c>
      <c r="Y20" s="9">
        <f>IF(C20="","",SUMIFS(Lines!$N$2:$N$500,Lines!$E$2:$E$500,C20,Lines!$A$2:$A$500,"total",Lines!$O$2:$O$500,"GRAND"))</f>
        <v/>
      </c>
      <c r="Z20" s="9">
        <f>IF(C20="","",SUMIFS(Lines!$N$2:$N$500,Lines!$E$2:$E$500,C20,Lines!$A$2:$A$500,"line"))</f>
        <v/>
      </c>
      <c r="AA20" s="2">
        <f>IF(C20="","",IF(Y20=0,"no stated total",IF(ABS(Y20-Z20)&gt;Settings!$B$2,"MISMATCH","ok")))</f>
        <v/>
      </c>
      <c r="AB20" s="2">
        <f>IF(C20="","",COUNTIFS(Lines!$E$2:$E$500,C20,Lines!$A$2:$A$500,"coverage"))</f>
        <v/>
      </c>
      <c r="AC20" s="2">
        <f>IF(C20="","",IF(LEN(IF(O20="MISMATCH","lines do not sum to stated total (LABOUR_ALL); ","")&amp;IF(R20="MISMATCH","lines do not sum to stated total (INSTALL); ","")&amp;IF(U20="MISMATCH","lines do not sum to stated total (PRODUCT); ","")&amp;IF(X20="MISMATCH","lines do not sum to stated total (ALLOWANCE); ","")&amp;IF(AA20="MISMATCH","lines do not sum to grand total; ","")&amp;IF(OR(I20="1-"&amp;H20,AND(H20=1,I20="1")),"","pages not read; ")&amp;IF(K20="N","extracted without mapping table; ","")&amp;IF(AB20&gt;1,"document extracted twice; ",""))&gt;2,LEFT(IF(O20="MISMATCH","lines do not sum to stated total (LABOUR_ALL); ","")&amp;IF(R20="MISMATCH","lines do not sum to stated total (INSTALL); ","")&amp;IF(U20="MISMATCH","lines do not sum to stated total (PRODUCT); ","")&amp;IF(X20="MISMATCH","lines do not sum to stated total (ALLOWANCE); ","")&amp;IF(AA20="MISMATCH","lines do not sum to grand total; ","")&amp;IF(OR(I20="1-"&amp;H20,AND(H20=1,I20="1")),"","pages not read; ")&amp;IF(K20="N","extracted without mapping table; ","")&amp;IF(AB20&gt;1,"document extracted twice; ",""),LEN(IF(O20="MISMATCH","lines do not sum to stated total (LABOUR_ALL); ","")&amp;IF(R20="MISMATCH","lines do not sum to stated total (INSTALL); ","")&amp;IF(U20="MISMATCH","lines do not sum to stated total (PRODUCT); ","")&amp;IF(X20="MISMATCH","lines do not sum to stated total (ALLOWANCE); ","")&amp;IF(AA20="MISMATCH","lines do not sum to grand total; ","")&amp;IF(OR(I20="1-"&amp;H20,AND(H20=1,I20="1")),"","pages not read; ")&amp;IF(K20="N","extracted without mapping table; ","")&amp;IF(AB20&gt;1,"document extracted twice; ",""))-2),""))</f>
        <v/>
      </c>
      <c r="AD20" s="2">
        <f>IF(AC20&lt;&gt;"",MAX($AD$1:AD19)+1,"")</f>
        <v/>
      </c>
    </row>
    <row r="21">
      <c r="A21" s="2" t="n">
        <v>20</v>
      </c>
      <c r="B21" s="2">
        <f>IFERROR(MATCH(A21,Lines!$AF$2:$AF$500,0),"")</f>
        <v/>
      </c>
      <c r="C21" s="2">
        <f>IF(B21="","",INDEX(Lines!$E$2:$E$500,B21)&amp;"")</f>
        <v/>
      </c>
      <c r="D21" s="2">
        <f>IF(B21="","",INDEX(Lines!$B$2:$B$500,B21)&amp;"")</f>
        <v/>
      </c>
      <c r="E21" s="2">
        <f>IF(B21="","",INDEX(Lines!$C$2:$C$500,B21)&amp;"")</f>
        <v/>
      </c>
      <c r="F21" s="2">
        <f>IF(B21="","",INDEX(Lines!$D$2:$D$500,B21)&amp;"")</f>
        <v/>
      </c>
      <c r="G21" s="2">
        <f>IF(B21="","",INDEX(Lines!$F$2:$F$500,B21)&amp;"")</f>
        <v/>
      </c>
      <c r="H21" s="2">
        <f>IF(B21="","",INDEX(Lines!$R$2:$R$500,B21))</f>
        <v/>
      </c>
      <c r="I21" s="2">
        <f>IF(B21="","",INDEX(Lines!$S$2:$S$500,B21)&amp;"")</f>
        <v/>
      </c>
      <c r="J21" s="2">
        <f>IF(B21="","",INDEX(Lines!$T$2:$T$500,B21)&amp;"")</f>
        <v/>
      </c>
      <c r="K21" s="2">
        <f>IF(B21="","",INDEX(Lines!$U$2:$U$500,B21)&amp;"")</f>
        <v/>
      </c>
      <c r="L21" s="2">
        <f>IF(B21="","",INDEX(Lines!$V$2:$V$500,B21)&amp;"")</f>
        <v/>
      </c>
      <c r="M21" s="9">
        <f>IF(C21="","",SUMIFS(Lines!$N$2:$N$500,Lines!$E$2:$E$500,C21,Lines!$A$2:$A$500,"total",Lines!$X$2:$X$500,"LABOUR_ALL"))</f>
        <v/>
      </c>
      <c r="N21" s="9">
        <f>IF(C21="","",SUMIFS(Lines!$N$2:$N$500,Lines!$E$2:$E$500,C21,Lines!$A$2:$A$500,"line",Lines!$X$2:$X$500,"LABOUR_ALL"))</f>
        <v/>
      </c>
      <c r="O21" s="2">
        <f>IF(C21="","",IF(M21=0,"no stated total",IF(ABS(M21-N21)&gt;Settings!$B$2,"MISMATCH","ok")))</f>
        <v/>
      </c>
      <c r="P21" s="9">
        <f>IF(C21="","",SUMIFS(Lines!$N$2:$N$500,Lines!$E$2:$E$500,C21,Lines!$A$2:$A$500,"total",Lines!$O$2:$O$500,"INSTALL"))</f>
        <v/>
      </c>
      <c r="Q21" s="9">
        <f>IF(C21="","",SUMIFS(Lines!$N$2:$N$500,Lines!$E$2:$E$500,C21,Lines!$A$2:$A$500,"line",Lines!$O$2:$O$500,"INSTALL"))</f>
        <v/>
      </c>
      <c r="R21" s="2">
        <f>IF(C21="","",IF(P21=0,"no stated total",IF(ABS(P21-Q21)&gt;Settings!$B$2,"MISMATCH","ok")))</f>
        <v/>
      </c>
      <c r="S21" s="9">
        <f>IF(C21="","",SUMIFS(Lines!$N$2:$N$500,Lines!$E$2:$E$500,C21,Lines!$A$2:$A$500,"total",Lines!$O$2:$O$500,"PRODUCT"))</f>
        <v/>
      </c>
      <c r="T21" s="9">
        <f>IF(C21="","",SUMIFS(Lines!$N$2:$N$500,Lines!$E$2:$E$500,C21,Lines!$A$2:$A$500,"line",Lines!$O$2:$O$500,"PRODUCT"))</f>
        <v/>
      </c>
      <c r="U21" s="2">
        <f>IF(C21="","",IF(S21=0,"no stated total",IF(ABS(S21-T21)&gt;Settings!$B$2,"MISMATCH","ok")))</f>
        <v/>
      </c>
      <c r="V21" s="9">
        <f>IF(C21="","",SUMIFS(Lines!$N$2:$N$500,Lines!$E$2:$E$500,C21,Lines!$A$2:$A$500,"total",Lines!$O$2:$O$500,"ALLOWANCE"))</f>
        <v/>
      </c>
      <c r="W21" s="9">
        <f>IF(C21="","",SUMIFS(Lines!$N$2:$N$500,Lines!$E$2:$E$500,C21,Lines!$A$2:$A$500,"line",Lines!$O$2:$O$500,"ALLOWANCE"))</f>
        <v/>
      </c>
      <c r="X21" s="2">
        <f>IF(C21="","",IF(V21=0,"no stated total",IF(ABS(V21-W21)&gt;Settings!$B$2,"MISMATCH","ok")))</f>
        <v/>
      </c>
      <c r="Y21" s="9">
        <f>IF(C21="","",SUMIFS(Lines!$N$2:$N$500,Lines!$E$2:$E$500,C21,Lines!$A$2:$A$500,"total",Lines!$O$2:$O$500,"GRAND"))</f>
        <v/>
      </c>
      <c r="Z21" s="9">
        <f>IF(C21="","",SUMIFS(Lines!$N$2:$N$500,Lines!$E$2:$E$500,C21,Lines!$A$2:$A$500,"line"))</f>
        <v/>
      </c>
      <c r="AA21" s="2">
        <f>IF(C21="","",IF(Y21=0,"no stated total",IF(ABS(Y21-Z21)&gt;Settings!$B$2,"MISMATCH","ok")))</f>
        <v/>
      </c>
      <c r="AB21" s="2">
        <f>IF(C21="","",COUNTIFS(Lines!$E$2:$E$500,C21,Lines!$A$2:$A$500,"coverage"))</f>
        <v/>
      </c>
      <c r="AC21" s="2">
        <f>IF(C21="","",IF(LEN(IF(O21="MISMATCH","lines do not sum to stated total (LABOUR_ALL); ","")&amp;IF(R21="MISMATCH","lines do not sum to stated total (INSTALL); ","")&amp;IF(U21="MISMATCH","lines do not sum to stated total (PRODUCT); ","")&amp;IF(X21="MISMATCH","lines do not sum to stated total (ALLOWANCE); ","")&amp;IF(AA21="MISMATCH","lines do not sum to grand total; ","")&amp;IF(OR(I21="1-"&amp;H21,AND(H21=1,I21="1")),"","pages not read; ")&amp;IF(K21="N","extracted without mapping table; ","")&amp;IF(AB21&gt;1,"document extracted twice; ",""))&gt;2,LEFT(IF(O21="MISMATCH","lines do not sum to stated total (LABOUR_ALL); ","")&amp;IF(R21="MISMATCH","lines do not sum to stated total (INSTALL); ","")&amp;IF(U21="MISMATCH","lines do not sum to stated total (PRODUCT); ","")&amp;IF(X21="MISMATCH","lines do not sum to stated total (ALLOWANCE); ","")&amp;IF(AA21="MISMATCH","lines do not sum to grand total; ","")&amp;IF(OR(I21="1-"&amp;H21,AND(H21=1,I21="1")),"","pages not read; ")&amp;IF(K21="N","extracted without mapping table; ","")&amp;IF(AB21&gt;1,"document extracted twice; ",""),LEN(IF(O21="MISMATCH","lines do not sum to stated total (LABOUR_ALL); ","")&amp;IF(R21="MISMATCH","lines do not sum to stated total (INSTALL); ","")&amp;IF(U21="MISMATCH","lines do not sum to stated total (PRODUCT); ","")&amp;IF(X21="MISMATCH","lines do not sum to stated total (ALLOWANCE); ","")&amp;IF(AA21="MISMATCH","lines do not sum to grand total; ","")&amp;IF(OR(I21="1-"&amp;H21,AND(H21=1,I21="1")),"","pages not read; ")&amp;IF(K21="N","extracted without mapping table; ","")&amp;IF(AB21&gt;1,"document extracted twice; ",""))-2),""))</f>
        <v/>
      </c>
      <c r="AD21" s="2">
        <f>IF(AC21&lt;&gt;"",MAX($AD$1:AD20)+1,"")</f>
        <v/>
      </c>
    </row>
    <row r="22">
      <c r="A22" s="2" t="n">
        <v>21</v>
      </c>
      <c r="B22" s="2">
        <f>IFERROR(MATCH(A22,Lines!$AF$2:$AF$500,0),"")</f>
        <v/>
      </c>
      <c r="C22" s="2">
        <f>IF(B22="","",INDEX(Lines!$E$2:$E$500,B22)&amp;"")</f>
        <v/>
      </c>
      <c r="D22" s="2">
        <f>IF(B22="","",INDEX(Lines!$B$2:$B$500,B22)&amp;"")</f>
        <v/>
      </c>
      <c r="E22" s="2">
        <f>IF(B22="","",INDEX(Lines!$C$2:$C$500,B22)&amp;"")</f>
        <v/>
      </c>
      <c r="F22" s="2">
        <f>IF(B22="","",INDEX(Lines!$D$2:$D$500,B22)&amp;"")</f>
        <v/>
      </c>
      <c r="G22" s="2">
        <f>IF(B22="","",INDEX(Lines!$F$2:$F$500,B22)&amp;"")</f>
        <v/>
      </c>
      <c r="H22" s="2">
        <f>IF(B22="","",INDEX(Lines!$R$2:$R$500,B22))</f>
        <v/>
      </c>
      <c r="I22" s="2">
        <f>IF(B22="","",INDEX(Lines!$S$2:$S$500,B22)&amp;"")</f>
        <v/>
      </c>
      <c r="J22" s="2">
        <f>IF(B22="","",INDEX(Lines!$T$2:$T$500,B22)&amp;"")</f>
        <v/>
      </c>
      <c r="K22" s="2">
        <f>IF(B22="","",INDEX(Lines!$U$2:$U$500,B22)&amp;"")</f>
        <v/>
      </c>
      <c r="L22" s="2">
        <f>IF(B22="","",INDEX(Lines!$V$2:$V$500,B22)&amp;"")</f>
        <v/>
      </c>
      <c r="M22" s="9">
        <f>IF(C22="","",SUMIFS(Lines!$N$2:$N$500,Lines!$E$2:$E$500,C22,Lines!$A$2:$A$500,"total",Lines!$X$2:$X$500,"LABOUR_ALL"))</f>
        <v/>
      </c>
      <c r="N22" s="9">
        <f>IF(C22="","",SUMIFS(Lines!$N$2:$N$500,Lines!$E$2:$E$500,C22,Lines!$A$2:$A$500,"line",Lines!$X$2:$X$500,"LABOUR_ALL"))</f>
        <v/>
      </c>
      <c r="O22" s="2">
        <f>IF(C22="","",IF(M22=0,"no stated total",IF(ABS(M22-N22)&gt;Settings!$B$2,"MISMATCH","ok")))</f>
        <v/>
      </c>
      <c r="P22" s="9">
        <f>IF(C22="","",SUMIFS(Lines!$N$2:$N$500,Lines!$E$2:$E$500,C22,Lines!$A$2:$A$500,"total",Lines!$O$2:$O$500,"INSTALL"))</f>
        <v/>
      </c>
      <c r="Q22" s="9">
        <f>IF(C22="","",SUMIFS(Lines!$N$2:$N$500,Lines!$E$2:$E$500,C22,Lines!$A$2:$A$500,"line",Lines!$O$2:$O$500,"INSTALL"))</f>
        <v/>
      </c>
      <c r="R22" s="2">
        <f>IF(C22="","",IF(P22=0,"no stated total",IF(ABS(P22-Q22)&gt;Settings!$B$2,"MISMATCH","ok")))</f>
        <v/>
      </c>
      <c r="S22" s="9">
        <f>IF(C22="","",SUMIFS(Lines!$N$2:$N$500,Lines!$E$2:$E$500,C22,Lines!$A$2:$A$500,"total",Lines!$O$2:$O$500,"PRODUCT"))</f>
        <v/>
      </c>
      <c r="T22" s="9">
        <f>IF(C22="","",SUMIFS(Lines!$N$2:$N$500,Lines!$E$2:$E$500,C22,Lines!$A$2:$A$500,"line",Lines!$O$2:$O$500,"PRODUCT"))</f>
        <v/>
      </c>
      <c r="U22" s="2">
        <f>IF(C22="","",IF(S22=0,"no stated total",IF(ABS(S22-T22)&gt;Settings!$B$2,"MISMATCH","ok")))</f>
        <v/>
      </c>
      <c r="V22" s="9">
        <f>IF(C22="","",SUMIFS(Lines!$N$2:$N$500,Lines!$E$2:$E$500,C22,Lines!$A$2:$A$500,"total",Lines!$O$2:$O$500,"ALLOWANCE"))</f>
        <v/>
      </c>
      <c r="W22" s="9">
        <f>IF(C22="","",SUMIFS(Lines!$N$2:$N$500,Lines!$E$2:$E$500,C22,Lines!$A$2:$A$500,"line",Lines!$O$2:$O$500,"ALLOWANCE"))</f>
        <v/>
      </c>
      <c r="X22" s="2">
        <f>IF(C22="","",IF(V22=0,"no stated total",IF(ABS(V22-W22)&gt;Settings!$B$2,"MISMATCH","ok")))</f>
        <v/>
      </c>
      <c r="Y22" s="9">
        <f>IF(C22="","",SUMIFS(Lines!$N$2:$N$500,Lines!$E$2:$E$500,C22,Lines!$A$2:$A$500,"total",Lines!$O$2:$O$500,"GRAND"))</f>
        <v/>
      </c>
      <c r="Z22" s="9">
        <f>IF(C22="","",SUMIFS(Lines!$N$2:$N$500,Lines!$E$2:$E$500,C22,Lines!$A$2:$A$500,"line"))</f>
        <v/>
      </c>
      <c r="AA22" s="2">
        <f>IF(C22="","",IF(Y22=0,"no stated total",IF(ABS(Y22-Z22)&gt;Settings!$B$2,"MISMATCH","ok")))</f>
        <v/>
      </c>
      <c r="AB22" s="2">
        <f>IF(C22="","",COUNTIFS(Lines!$E$2:$E$500,C22,Lines!$A$2:$A$500,"coverage"))</f>
        <v/>
      </c>
      <c r="AC22" s="2">
        <f>IF(C22="","",IF(LEN(IF(O22="MISMATCH","lines do not sum to stated total (LABOUR_ALL); ","")&amp;IF(R22="MISMATCH","lines do not sum to stated total (INSTALL); ","")&amp;IF(U22="MISMATCH","lines do not sum to stated total (PRODUCT); ","")&amp;IF(X22="MISMATCH","lines do not sum to stated total (ALLOWANCE); ","")&amp;IF(AA22="MISMATCH","lines do not sum to grand total; ","")&amp;IF(OR(I22="1-"&amp;H22,AND(H22=1,I22="1")),"","pages not read; ")&amp;IF(K22="N","extracted without mapping table; ","")&amp;IF(AB22&gt;1,"document extracted twice; ",""))&gt;2,LEFT(IF(O22="MISMATCH","lines do not sum to stated total (LABOUR_ALL); ","")&amp;IF(R22="MISMATCH","lines do not sum to stated total (INSTALL); ","")&amp;IF(U22="MISMATCH","lines do not sum to stated total (PRODUCT); ","")&amp;IF(X22="MISMATCH","lines do not sum to stated total (ALLOWANCE); ","")&amp;IF(AA22="MISMATCH","lines do not sum to grand total; ","")&amp;IF(OR(I22="1-"&amp;H22,AND(H22=1,I22="1")),"","pages not read; ")&amp;IF(K22="N","extracted without mapping table; ","")&amp;IF(AB22&gt;1,"document extracted twice; ",""),LEN(IF(O22="MISMATCH","lines do not sum to stated total (LABOUR_ALL); ","")&amp;IF(R22="MISMATCH","lines do not sum to stated total (INSTALL); ","")&amp;IF(U22="MISMATCH","lines do not sum to stated total (PRODUCT); ","")&amp;IF(X22="MISMATCH","lines do not sum to stated total (ALLOWANCE); ","")&amp;IF(AA22="MISMATCH","lines do not sum to grand total; ","")&amp;IF(OR(I22="1-"&amp;H22,AND(H22=1,I22="1")),"","pages not read; ")&amp;IF(K22="N","extracted without mapping table; ","")&amp;IF(AB22&gt;1,"document extracted twice; ",""))-2),""))</f>
        <v/>
      </c>
      <c r="AD22" s="2">
        <f>IF(AC22&lt;&gt;"",MAX($AD$1:AD21)+1,"")</f>
        <v/>
      </c>
    </row>
    <row r="23">
      <c r="A23" s="2" t="n">
        <v>22</v>
      </c>
      <c r="B23" s="2">
        <f>IFERROR(MATCH(A23,Lines!$AF$2:$AF$500,0),"")</f>
        <v/>
      </c>
      <c r="C23" s="2">
        <f>IF(B23="","",INDEX(Lines!$E$2:$E$500,B23)&amp;"")</f>
        <v/>
      </c>
      <c r="D23" s="2">
        <f>IF(B23="","",INDEX(Lines!$B$2:$B$500,B23)&amp;"")</f>
        <v/>
      </c>
      <c r="E23" s="2">
        <f>IF(B23="","",INDEX(Lines!$C$2:$C$500,B23)&amp;"")</f>
        <v/>
      </c>
      <c r="F23" s="2">
        <f>IF(B23="","",INDEX(Lines!$D$2:$D$500,B23)&amp;"")</f>
        <v/>
      </c>
      <c r="G23" s="2">
        <f>IF(B23="","",INDEX(Lines!$F$2:$F$500,B23)&amp;"")</f>
        <v/>
      </c>
      <c r="H23" s="2">
        <f>IF(B23="","",INDEX(Lines!$R$2:$R$500,B23))</f>
        <v/>
      </c>
      <c r="I23" s="2">
        <f>IF(B23="","",INDEX(Lines!$S$2:$S$500,B23)&amp;"")</f>
        <v/>
      </c>
      <c r="J23" s="2">
        <f>IF(B23="","",INDEX(Lines!$T$2:$T$500,B23)&amp;"")</f>
        <v/>
      </c>
      <c r="K23" s="2">
        <f>IF(B23="","",INDEX(Lines!$U$2:$U$500,B23)&amp;"")</f>
        <v/>
      </c>
      <c r="L23" s="2">
        <f>IF(B23="","",INDEX(Lines!$V$2:$V$500,B23)&amp;"")</f>
        <v/>
      </c>
      <c r="M23" s="9">
        <f>IF(C23="","",SUMIFS(Lines!$N$2:$N$500,Lines!$E$2:$E$500,C23,Lines!$A$2:$A$500,"total",Lines!$X$2:$X$500,"LABOUR_ALL"))</f>
        <v/>
      </c>
      <c r="N23" s="9">
        <f>IF(C23="","",SUMIFS(Lines!$N$2:$N$500,Lines!$E$2:$E$500,C23,Lines!$A$2:$A$500,"line",Lines!$X$2:$X$500,"LABOUR_ALL"))</f>
        <v/>
      </c>
      <c r="O23" s="2">
        <f>IF(C23="","",IF(M23=0,"no stated total",IF(ABS(M23-N23)&gt;Settings!$B$2,"MISMATCH","ok")))</f>
        <v/>
      </c>
      <c r="P23" s="9">
        <f>IF(C23="","",SUMIFS(Lines!$N$2:$N$500,Lines!$E$2:$E$500,C23,Lines!$A$2:$A$500,"total",Lines!$O$2:$O$500,"INSTALL"))</f>
        <v/>
      </c>
      <c r="Q23" s="9">
        <f>IF(C23="","",SUMIFS(Lines!$N$2:$N$500,Lines!$E$2:$E$500,C23,Lines!$A$2:$A$500,"line",Lines!$O$2:$O$500,"INSTALL"))</f>
        <v/>
      </c>
      <c r="R23" s="2">
        <f>IF(C23="","",IF(P23=0,"no stated total",IF(ABS(P23-Q23)&gt;Settings!$B$2,"MISMATCH","ok")))</f>
        <v/>
      </c>
      <c r="S23" s="9">
        <f>IF(C23="","",SUMIFS(Lines!$N$2:$N$500,Lines!$E$2:$E$500,C23,Lines!$A$2:$A$500,"total",Lines!$O$2:$O$500,"PRODUCT"))</f>
        <v/>
      </c>
      <c r="T23" s="9">
        <f>IF(C23="","",SUMIFS(Lines!$N$2:$N$500,Lines!$E$2:$E$500,C23,Lines!$A$2:$A$500,"line",Lines!$O$2:$O$500,"PRODUCT"))</f>
        <v/>
      </c>
      <c r="U23" s="2">
        <f>IF(C23="","",IF(S23=0,"no stated total",IF(ABS(S23-T23)&gt;Settings!$B$2,"MISMATCH","ok")))</f>
        <v/>
      </c>
      <c r="V23" s="9">
        <f>IF(C23="","",SUMIFS(Lines!$N$2:$N$500,Lines!$E$2:$E$500,C23,Lines!$A$2:$A$500,"total",Lines!$O$2:$O$500,"ALLOWANCE"))</f>
        <v/>
      </c>
      <c r="W23" s="9">
        <f>IF(C23="","",SUMIFS(Lines!$N$2:$N$500,Lines!$E$2:$E$500,C23,Lines!$A$2:$A$500,"line",Lines!$O$2:$O$500,"ALLOWANCE"))</f>
        <v/>
      </c>
      <c r="X23" s="2">
        <f>IF(C23="","",IF(V23=0,"no stated total",IF(ABS(V23-W23)&gt;Settings!$B$2,"MISMATCH","ok")))</f>
        <v/>
      </c>
      <c r="Y23" s="9">
        <f>IF(C23="","",SUMIFS(Lines!$N$2:$N$500,Lines!$E$2:$E$500,C23,Lines!$A$2:$A$500,"total",Lines!$O$2:$O$500,"GRAND"))</f>
        <v/>
      </c>
      <c r="Z23" s="9">
        <f>IF(C23="","",SUMIFS(Lines!$N$2:$N$500,Lines!$E$2:$E$500,C23,Lines!$A$2:$A$500,"line"))</f>
        <v/>
      </c>
      <c r="AA23" s="2">
        <f>IF(C23="","",IF(Y23=0,"no stated total",IF(ABS(Y23-Z23)&gt;Settings!$B$2,"MISMATCH","ok")))</f>
        <v/>
      </c>
      <c r="AB23" s="2">
        <f>IF(C23="","",COUNTIFS(Lines!$E$2:$E$500,C23,Lines!$A$2:$A$500,"coverage"))</f>
        <v/>
      </c>
      <c r="AC23" s="2">
        <f>IF(C23="","",IF(LEN(IF(O23="MISMATCH","lines do not sum to stated total (LABOUR_ALL); ","")&amp;IF(R23="MISMATCH","lines do not sum to stated total (INSTALL); ","")&amp;IF(U23="MISMATCH","lines do not sum to stated total (PRODUCT); ","")&amp;IF(X23="MISMATCH","lines do not sum to stated total (ALLOWANCE); ","")&amp;IF(AA23="MISMATCH","lines do not sum to grand total; ","")&amp;IF(OR(I23="1-"&amp;H23,AND(H23=1,I23="1")),"","pages not read; ")&amp;IF(K23="N","extracted without mapping table; ","")&amp;IF(AB23&gt;1,"document extracted twice; ",""))&gt;2,LEFT(IF(O23="MISMATCH","lines do not sum to stated total (LABOUR_ALL); ","")&amp;IF(R23="MISMATCH","lines do not sum to stated total (INSTALL); ","")&amp;IF(U23="MISMATCH","lines do not sum to stated total (PRODUCT); ","")&amp;IF(X23="MISMATCH","lines do not sum to stated total (ALLOWANCE); ","")&amp;IF(AA23="MISMATCH","lines do not sum to grand total; ","")&amp;IF(OR(I23="1-"&amp;H23,AND(H23=1,I23="1")),"","pages not read; ")&amp;IF(K23="N","extracted without mapping table; ","")&amp;IF(AB23&gt;1,"document extracted twice; ",""),LEN(IF(O23="MISMATCH","lines do not sum to stated total (LABOUR_ALL); ","")&amp;IF(R23="MISMATCH","lines do not sum to stated total (INSTALL); ","")&amp;IF(U23="MISMATCH","lines do not sum to stated total (PRODUCT); ","")&amp;IF(X23="MISMATCH","lines do not sum to stated total (ALLOWANCE); ","")&amp;IF(AA23="MISMATCH","lines do not sum to grand total; ","")&amp;IF(OR(I23="1-"&amp;H23,AND(H23=1,I23="1")),"","pages not read; ")&amp;IF(K23="N","extracted without mapping table; ","")&amp;IF(AB23&gt;1,"document extracted twice; ",""))-2),""))</f>
        <v/>
      </c>
      <c r="AD23" s="2">
        <f>IF(AC23&lt;&gt;"",MAX($AD$1:AD22)+1,"")</f>
        <v/>
      </c>
    </row>
    <row r="24">
      <c r="A24" s="2" t="n">
        <v>23</v>
      </c>
      <c r="B24" s="2">
        <f>IFERROR(MATCH(A24,Lines!$AF$2:$AF$500,0),"")</f>
        <v/>
      </c>
      <c r="C24" s="2">
        <f>IF(B24="","",INDEX(Lines!$E$2:$E$500,B24)&amp;"")</f>
        <v/>
      </c>
      <c r="D24" s="2">
        <f>IF(B24="","",INDEX(Lines!$B$2:$B$500,B24)&amp;"")</f>
        <v/>
      </c>
      <c r="E24" s="2">
        <f>IF(B24="","",INDEX(Lines!$C$2:$C$500,B24)&amp;"")</f>
        <v/>
      </c>
      <c r="F24" s="2">
        <f>IF(B24="","",INDEX(Lines!$D$2:$D$500,B24)&amp;"")</f>
        <v/>
      </c>
      <c r="G24" s="2">
        <f>IF(B24="","",INDEX(Lines!$F$2:$F$500,B24)&amp;"")</f>
        <v/>
      </c>
      <c r="H24" s="2">
        <f>IF(B24="","",INDEX(Lines!$R$2:$R$500,B24))</f>
        <v/>
      </c>
      <c r="I24" s="2">
        <f>IF(B24="","",INDEX(Lines!$S$2:$S$500,B24)&amp;"")</f>
        <v/>
      </c>
      <c r="J24" s="2">
        <f>IF(B24="","",INDEX(Lines!$T$2:$T$500,B24)&amp;"")</f>
        <v/>
      </c>
      <c r="K24" s="2">
        <f>IF(B24="","",INDEX(Lines!$U$2:$U$500,B24)&amp;"")</f>
        <v/>
      </c>
      <c r="L24" s="2">
        <f>IF(B24="","",INDEX(Lines!$V$2:$V$500,B24)&amp;"")</f>
        <v/>
      </c>
      <c r="M24" s="9">
        <f>IF(C24="","",SUMIFS(Lines!$N$2:$N$500,Lines!$E$2:$E$500,C24,Lines!$A$2:$A$500,"total",Lines!$X$2:$X$500,"LABOUR_ALL"))</f>
        <v/>
      </c>
      <c r="N24" s="9">
        <f>IF(C24="","",SUMIFS(Lines!$N$2:$N$500,Lines!$E$2:$E$500,C24,Lines!$A$2:$A$500,"line",Lines!$X$2:$X$500,"LABOUR_ALL"))</f>
        <v/>
      </c>
      <c r="O24" s="2">
        <f>IF(C24="","",IF(M24=0,"no stated total",IF(ABS(M24-N24)&gt;Settings!$B$2,"MISMATCH","ok")))</f>
        <v/>
      </c>
      <c r="P24" s="9">
        <f>IF(C24="","",SUMIFS(Lines!$N$2:$N$500,Lines!$E$2:$E$500,C24,Lines!$A$2:$A$500,"total",Lines!$O$2:$O$500,"INSTALL"))</f>
        <v/>
      </c>
      <c r="Q24" s="9">
        <f>IF(C24="","",SUMIFS(Lines!$N$2:$N$500,Lines!$E$2:$E$500,C24,Lines!$A$2:$A$500,"line",Lines!$O$2:$O$500,"INSTALL"))</f>
        <v/>
      </c>
      <c r="R24" s="2">
        <f>IF(C24="","",IF(P24=0,"no stated total",IF(ABS(P24-Q24)&gt;Settings!$B$2,"MISMATCH","ok")))</f>
        <v/>
      </c>
      <c r="S24" s="9">
        <f>IF(C24="","",SUMIFS(Lines!$N$2:$N$500,Lines!$E$2:$E$500,C24,Lines!$A$2:$A$500,"total",Lines!$O$2:$O$500,"PRODUCT"))</f>
        <v/>
      </c>
      <c r="T24" s="9">
        <f>IF(C24="","",SUMIFS(Lines!$N$2:$N$500,Lines!$E$2:$E$500,C24,Lines!$A$2:$A$500,"line",Lines!$O$2:$O$500,"PRODUCT"))</f>
        <v/>
      </c>
      <c r="U24" s="2">
        <f>IF(C24="","",IF(S24=0,"no stated total",IF(ABS(S24-T24)&gt;Settings!$B$2,"MISMATCH","ok")))</f>
        <v/>
      </c>
      <c r="V24" s="9">
        <f>IF(C24="","",SUMIFS(Lines!$N$2:$N$500,Lines!$E$2:$E$500,C24,Lines!$A$2:$A$500,"total",Lines!$O$2:$O$500,"ALLOWANCE"))</f>
        <v/>
      </c>
      <c r="W24" s="9">
        <f>IF(C24="","",SUMIFS(Lines!$N$2:$N$500,Lines!$E$2:$E$500,C24,Lines!$A$2:$A$500,"line",Lines!$O$2:$O$500,"ALLOWANCE"))</f>
        <v/>
      </c>
      <c r="X24" s="2">
        <f>IF(C24="","",IF(V24=0,"no stated total",IF(ABS(V24-W24)&gt;Settings!$B$2,"MISMATCH","ok")))</f>
        <v/>
      </c>
      <c r="Y24" s="9">
        <f>IF(C24="","",SUMIFS(Lines!$N$2:$N$500,Lines!$E$2:$E$500,C24,Lines!$A$2:$A$500,"total",Lines!$O$2:$O$500,"GRAND"))</f>
        <v/>
      </c>
      <c r="Z24" s="9">
        <f>IF(C24="","",SUMIFS(Lines!$N$2:$N$500,Lines!$E$2:$E$500,C24,Lines!$A$2:$A$500,"line"))</f>
        <v/>
      </c>
      <c r="AA24" s="2">
        <f>IF(C24="","",IF(Y24=0,"no stated total",IF(ABS(Y24-Z24)&gt;Settings!$B$2,"MISMATCH","ok")))</f>
        <v/>
      </c>
      <c r="AB24" s="2">
        <f>IF(C24="","",COUNTIFS(Lines!$E$2:$E$500,C24,Lines!$A$2:$A$500,"coverage"))</f>
        <v/>
      </c>
      <c r="AC24" s="2">
        <f>IF(C24="","",IF(LEN(IF(O24="MISMATCH","lines do not sum to stated total (LABOUR_ALL); ","")&amp;IF(R24="MISMATCH","lines do not sum to stated total (INSTALL); ","")&amp;IF(U24="MISMATCH","lines do not sum to stated total (PRODUCT); ","")&amp;IF(X24="MISMATCH","lines do not sum to stated total (ALLOWANCE); ","")&amp;IF(AA24="MISMATCH","lines do not sum to grand total; ","")&amp;IF(OR(I24="1-"&amp;H24,AND(H24=1,I24="1")),"","pages not read; ")&amp;IF(K24="N","extracted without mapping table; ","")&amp;IF(AB24&gt;1,"document extracted twice; ",""))&gt;2,LEFT(IF(O24="MISMATCH","lines do not sum to stated total (LABOUR_ALL); ","")&amp;IF(R24="MISMATCH","lines do not sum to stated total (INSTALL); ","")&amp;IF(U24="MISMATCH","lines do not sum to stated total (PRODUCT); ","")&amp;IF(X24="MISMATCH","lines do not sum to stated total (ALLOWANCE); ","")&amp;IF(AA24="MISMATCH","lines do not sum to grand total; ","")&amp;IF(OR(I24="1-"&amp;H24,AND(H24=1,I24="1")),"","pages not read; ")&amp;IF(K24="N","extracted without mapping table; ","")&amp;IF(AB24&gt;1,"document extracted twice; ",""),LEN(IF(O24="MISMATCH","lines do not sum to stated total (LABOUR_ALL); ","")&amp;IF(R24="MISMATCH","lines do not sum to stated total (INSTALL); ","")&amp;IF(U24="MISMATCH","lines do not sum to stated total (PRODUCT); ","")&amp;IF(X24="MISMATCH","lines do not sum to stated total (ALLOWANCE); ","")&amp;IF(AA24="MISMATCH","lines do not sum to grand total; ","")&amp;IF(OR(I24="1-"&amp;H24,AND(H24=1,I24="1")),"","pages not read; ")&amp;IF(K24="N","extracted without mapping table; ","")&amp;IF(AB24&gt;1,"document extracted twice; ",""))-2),""))</f>
        <v/>
      </c>
      <c r="AD24" s="2">
        <f>IF(AC24&lt;&gt;"",MAX($AD$1:AD23)+1,"")</f>
        <v/>
      </c>
    </row>
    <row r="25">
      <c r="A25" s="2" t="n">
        <v>24</v>
      </c>
      <c r="B25" s="2">
        <f>IFERROR(MATCH(A25,Lines!$AF$2:$AF$500,0),"")</f>
        <v/>
      </c>
      <c r="C25" s="2">
        <f>IF(B25="","",INDEX(Lines!$E$2:$E$500,B25)&amp;"")</f>
        <v/>
      </c>
      <c r="D25" s="2">
        <f>IF(B25="","",INDEX(Lines!$B$2:$B$500,B25)&amp;"")</f>
        <v/>
      </c>
      <c r="E25" s="2">
        <f>IF(B25="","",INDEX(Lines!$C$2:$C$500,B25)&amp;"")</f>
        <v/>
      </c>
      <c r="F25" s="2">
        <f>IF(B25="","",INDEX(Lines!$D$2:$D$500,B25)&amp;"")</f>
        <v/>
      </c>
      <c r="G25" s="2">
        <f>IF(B25="","",INDEX(Lines!$F$2:$F$500,B25)&amp;"")</f>
        <v/>
      </c>
      <c r="H25" s="2">
        <f>IF(B25="","",INDEX(Lines!$R$2:$R$500,B25))</f>
        <v/>
      </c>
      <c r="I25" s="2">
        <f>IF(B25="","",INDEX(Lines!$S$2:$S$500,B25)&amp;"")</f>
        <v/>
      </c>
      <c r="J25" s="2">
        <f>IF(B25="","",INDEX(Lines!$T$2:$T$500,B25)&amp;"")</f>
        <v/>
      </c>
      <c r="K25" s="2">
        <f>IF(B25="","",INDEX(Lines!$U$2:$U$500,B25)&amp;"")</f>
        <v/>
      </c>
      <c r="L25" s="2">
        <f>IF(B25="","",INDEX(Lines!$V$2:$V$500,B25)&amp;"")</f>
        <v/>
      </c>
      <c r="M25" s="9">
        <f>IF(C25="","",SUMIFS(Lines!$N$2:$N$500,Lines!$E$2:$E$500,C25,Lines!$A$2:$A$500,"total",Lines!$X$2:$X$500,"LABOUR_ALL"))</f>
        <v/>
      </c>
      <c r="N25" s="9">
        <f>IF(C25="","",SUMIFS(Lines!$N$2:$N$500,Lines!$E$2:$E$500,C25,Lines!$A$2:$A$500,"line",Lines!$X$2:$X$500,"LABOUR_ALL"))</f>
        <v/>
      </c>
      <c r="O25" s="2">
        <f>IF(C25="","",IF(M25=0,"no stated total",IF(ABS(M25-N25)&gt;Settings!$B$2,"MISMATCH","ok")))</f>
        <v/>
      </c>
      <c r="P25" s="9">
        <f>IF(C25="","",SUMIFS(Lines!$N$2:$N$500,Lines!$E$2:$E$500,C25,Lines!$A$2:$A$500,"total",Lines!$O$2:$O$500,"INSTALL"))</f>
        <v/>
      </c>
      <c r="Q25" s="9">
        <f>IF(C25="","",SUMIFS(Lines!$N$2:$N$500,Lines!$E$2:$E$500,C25,Lines!$A$2:$A$500,"line",Lines!$O$2:$O$500,"INSTALL"))</f>
        <v/>
      </c>
      <c r="R25" s="2">
        <f>IF(C25="","",IF(P25=0,"no stated total",IF(ABS(P25-Q25)&gt;Settings!$B$2,"MISMATCH","ok")))</f>
        <v/>
      </c>
      <c r="S25" s="9">
        <f>IF(C25="","",SUMIFS(Lines!$N$2:$N$500,Lines!$E$2:$E$500,C25,Lines!$A$2:$A$500,"total",Lines!$O$2:$O$500,"PRODUCT"))</f>
        <v/>
      </c>
      <c r="T25" s="9">
        <f>IF(C25="","",SUMIFS(Lines!$N$2:$N$500,Lines!$E$2:$E$500,C25,Lines!$A$2:$A$500,"line",Lines!$O$2:$O$500,"PRODUCT"))</f>
        <v/>
      </c>
      <c r="U25" s="2">
        <f>IF(C25="","",IF(S25=0,"no stated total",IF(ABS(S25-T25)&gt;Settings!$B$2,"MISMATCH","ok")))</f>
        <v/>
      </c>
      <c r="V25" s="9">
        <f>IF(C25="","",SUMIFS(Lines!$N$2:$N$500,Lines!$E$2:$E$500,C25,Lines!$A$2:$A$500,"total",Lines!$O$2:$O$500,"ALLOWANCE"))</f>
        <v/>
      </c>
      <c r="W25" s="9">
        <f>IF(C25="","",SUMIFS(Lines!$N$2:$N$500,Lines!$E$2:$E$500,C25,Lines!$A$2:$A$500,"line",Lines!$O$2:$O$500,"ALLOWANCE"))</f>
        <v/>
      </c>
      <c r="X25" s="2">
        <f>IF(C25="","",IF(V25=0,"no stated total",IF(ABS(V25-W25)&gt;Settings!$B$2,"MISMATCH","ok")))</f>
        <v/>
      </c>
      <c r="Y25" s="9">
        <f>IF(C25="","",SUMIFS(Lines!$N$2:$N$500,Lines!$E$2:$E$500,C25,Lines!$A$2:$A$500,"total",Lines!$O$2:$O$500,"GRAND"))</f>
        <v/>
      </c>
      <c r="Z25" s="9">
        <f>IF(C25="","",SUMIFS(Lines!$N$2:$N$500,Lines!$E$2:$E$500,C25,Lines!$A$2:$A$500,"line"))</f>
        <v/>
      </c>
      <c r="AA25" s="2">
        <f>IF(C25="","",IF(Y25=0,"no stated total",IF(ABS(Y25-Z25)&gt;Settings!$B$2,"MISMATCH","ok")))</f>
        <v/>
      </c>
      <c r="AB25" s="2">
        <f>IF(C25="","",COUNTIFS(Lines!$E$2:$E$500,C25,Lines!$A$2:$A$500,"coverage"))</f>
        <v/>
      </c>
      <c r="AC25" s="2">
        <f>IF(C25="","",IF(LEN(IF(O25="MISMATCH","lines do not sum to stated total (LABOUR_ALL); ","")&amp;IF(R25="MISMATCH","lines do not sum to stated total (INSTALL); ","")&amp;IF(U25="MISMATCH","lines do not sum to stated total (PRODUCT); ","")&amp;IF(X25="MISMATCH","lines do not sum to stated total (ALLOWANCE); ","")&amp;IF(AA25="MISMATCH","lines do not sum to grand total; ","")&amp;IF(OR(I25="1-"&amp;H25,AND(H25=1,I25="1")),"","pages not read; ")&amp;IF(K25="N","extracted without mapping table; ","")&amp;IF(AB25&gt;1,"document extracted twice; ",""))&gt;2,LEFT(IF(O25="MISMATCH","lines do not sum to stated total (LABOUR_ALL); ","")&amp;IF(R25="MISMATCH","lines do not sum to stated total (INSTALL); ","")&amp;IF(U25="MISMATCH","lines do not sum to stated total (PRODUCT); ","")&amp;IF(X25="MISMATCH","lines do not sum to stated total (ALLOWANCE); ","")&amp;IF(AA25="MISMATCH","lines do not sum to grand total; ","")&amp;IF(OR(I25="1-"&amp;H25,AND(H25=1,I25="1")),"","pages not read; ")&amp;IF(K25="N","extracted without mapping table; ","")&amp;IF(AB25&gt;1,"document extracted twice; ",""),LEN(IF(O25="MISMATCH","lines do not sum to stated total (LABOUR_ALL); ","")&amp;IF(R25="MISMATCH","lines do not sum to stated total (INSTALL); ","")&amp;IF(U25="MISMATCH","lines do not sum to stated total (PRODUCT); ","")&amp;IF(X25="MISMATCH","lines do not sum to stated total (ALLOWANCE); ","")&amp;IF(AA25="MISMATCH","lines do not sum to grand total; ","")&amp;IF(OR(I25="1-"&amp;H25,AND(H25=1,I25="1")),"","pages not read; ")&amp;IF(K25="N","extracted without mapping table; ","")&amp;IF(AB25&gt;1,"document extracted twice; ",""))-2),""))</f>
        <v/>
      </c>
      <c r="AD25" s="2">
        <f>IF(AC25&lt;&gt;"",MAX($AD$1:AD24)+1,"")</f>
        <v/>
      </c>
    </row>
    <row r="26">
      <c r="A26" s="2" t="n">
        <v>25</v>
      </c>
      <c r="B26" s="2">
        <f>IFERROR(MATCH(A26,Lines!$AF$2:$AF$500,0),"")</f>
        <v/>
      </c>
      <c r="C26" s="2">
        <f>IF(B26="","",INDEX(Lines!$E$2:$E$500,B26)&amp;"")</f>
        <v/>
      </c>
      <c r="D26" s="2">
        <f>IF(B26="","",INDEX(Lines!$B$2:$B$500,B26)&amp;"")</f>
        <v/>
      </c>
      <c r="E26" s="2">
        <f>IF(B26="","",INDEX(Lines!$C$2:$C$500,B26)&amp;"")</f>
        <v/>
      </c>
      <c r="F26" s="2">
        <f>IF(B26="","",INDEX(Lines!$D$2:$D$500,B26)&amp;"")</f>
        <v/>
      </c>
      <c r="G26" s="2">
        <f>IF(B26="","",INDEX(Lines!$F$2:$F$500,B26)&amp;"")</f>
        <v/>
      </c>
      <c r="H26" s="2">
        <f>IF(B26="","",INDEX(Lines!$R$2:$R$500,B26))</f>
        <v/>
      </c>
      <c r="I26" s="2">
        <f>IF(B26="","",INDEX(Lines!$S$2:$S$500,B26)&amp;"")</f>
        <v/>
      </c>
      <c r="J26" s="2">
        <f>IF(B26="","",INDEX(Lines!$T$2:$T$500,B26)&amp;"")</f>
        <v/>
      </c>
      <c r="K26" s="2">
        <f>IF(B26="","",INDEX(Lines!$U$2:$U$500,B26)&amp;"")</f>
        <v/>
      </c>
      <c r="L26" s="2">
        <f>IF(B26="","",INDEX(Lines!$V$2:$V$500,B26)&amp;"")</f>
        <v/>
      </c>
      <c r="M26" s="9">
        <f>IF(C26="","",SUMIFS(Lines!$N$2:$N$500,Lines!$E$2:$E$500,C26,Lines!$A$2:$A$500,"total",Lines!$X$2:$X$500,"LABOUR_ALL"))</f>
        <v/>
      </c>
      <c r="N26" s="9">
        <f>IF(C26="","",SUMIFS(Lines!$N$2:$N$500,Lines!$E$2:$E$500,C26,Lines!$A$2:$A$500,"line",Lines!$X$2:$X$500,"LABOUR_ALL"))</f>
        <v/>
      </c>
      <c r="O26" s="2">
        <f>IF(C26="","",IF(M26=0,"no stated total",IF(ABS(M26-N26)&gt;Settings!$B$2,"MISMATCH","ok")))</f>
        <v/>
      </c>
      <c r="P26" s="9">
        <f>IF(C26="","",SUMIFS(Lines!$N$2:$N$500,Lines!$E$2:$E$500,C26,Lines!$A$2:$A$500,"total",Lines!$O$2:$O$500,"INSTALL"))</f>
        <v/>
      </c>
      <c r="Q26" s="9">
        <f>IF(C26="","",SUMIFS(Lines!$N$2:$N$500,Lines!$E$2:$E$500,C26,Lines!$A$2:$A$500,"line",Lines!$O$2:$O$500,"INSTALL"))</f>
        <v/>
      </c>
      <c r="R26" s="2">
        <f>IF(C26="","",IF(P26=0,"no stated total",IF(ABS(P26-Q26)&gt;Settings!$B$2,"MISMATCH","ok")))</f>
        <v/>
      </c>
      <c r="S26" s="9">
        <f>IF(C26="","",SUMIFS(Lines!$N$2:$N$500,Lines!$E$2:$E$500,C26,Lines!$A$2:$A$500,"total",Lines!$O$2:$O$500,"PRODUCT"))</f>
        <v/>
      </c>
      <c r="T26" s="9">
        <f>IF(C26="","",SUMIFS(Lines!$N$2:$N$500,Lines!$E$2:$E$500,C26,Lines!$A$2:$A$500,"line",Lines!$O$2:$O$500,"PRODUCT"))</f>
        <v/>
      </c>
      <c r="U26" s="2">
        <f>IF(C26="","",IF(S26=0,"no stated total",IF(ABS(S26-T26)&gt;Settings!$B$2,"MISMATCH","ok")))</f>
        <v/>
      </c>
      <c r="V26" s="9">
        <f>IF(C26="","",SUMIFS(Lines!$N$2:$N$500,Lines!$E$2:$E$500,C26,Lines!$A$2:$A$500,"total",Lines!$O$2:$O$500,"ALLOWANCE"))</f>
        <v/>
      </c>
      <c r="W26" s="9">
        <f>IF(C26="","",SUMIFS(Lines!$N$2:$N$500,Lines!$E$2:$E$500,C26,Lines!$A$2:$A$500,"line",Lines!$O$2:$O$500,"ALLOWANCE"))</f>
        <v/>
      </c>
      <c r="X26" s="2">
        <f>IF(C26="","",IF(V26=0,"no stated total",IF(ABS(V26-W26)&gt;Settings!$B$2,"MISMATCH","ok")))</f>
        <v/>
      </c>
      <c r="Y26" s="9">
        <f>IF(C26="","",SUMIFS(Lines!$N$2:$N$500,Lines!$E$2:$E$500,C26,Lines!$A$2:$A$500,"total",Lines!$O$2:$O$500,"GRAND"))</f>
        <v/>
      </c>
      <c r="Z26" s="9">
        <f>IF(C26="","",SUMIFS(Lines!$N$2:$N$500,Lines!$E$2:$E$500,C26,Lines!$A$2:$A$500,"line"))</f>
        <v/>
      </c>
      <c r="AA26" s="2">
        <f>IF(C26="","",IF(Y26=0,"no stated total",IF(ABS(Y26-Z26)&gt;Settings!$B$2,"MISMATCH","ok")))</f>
        <v/>
      </c>
      <c r="AB26" s="2">
        <f>IF(C26="","",COUNTIFS(Lines!$E$2:$E$500,C26,Lines!$A$2:$A$500,"coverage"))</f>
        <v/>
      </c>
      <c r="AC26" s="2">
        <f>IF(C26="","",IF(LEN(IF(O26="MISMATCH","lines do not sum to stated total (LABOUR_ALL); ","")&amp;IF(R26="MISMATCH","lines do not sum to stated total (INSTALL); ","")&amp;IF(U26="MISMATCH","lines do not sum to stated total (PRODUCT); ","")&amp;IF(X26="MISMATCH","lines do not sum to stated total (ALLOWANCE); ","")&amp;IF(AA26="MISMATCH","lines do not sum to grand total; ","")&amp;IF(OR(I26="1-"&amp;H26,AND(H26=1,I26="1")),"","pages not read; ")&amp;IF(K26="N","extracted without mapping table; ","")&amp;IF(AB26&gt;1,"document extracted twice; ",""))&gt;2,LEFT(IF(O26="MISMATCH","lines do not sum to stated total (LABOUR_ALL); ","")&amp;IF(R26="MISMATCH","lines do not sum to stated total (INSTALL); ","")&amp;IF(U26="MISMATCH","lines do not sum to stated total (PRODUCT); ","")&amp;IF(X26="MISMATCH","lines do not sum to stated total (ALLOWANCE); ","")&amp;IF(AA26="MISMATCH","lines do not sum to grand total; ","")&amp;IF(OR(I26="1-"&amp;H26,AND(H26=1,I26="1")),"","pages not read; ")&amp;IF(K26="N","extracted without mapping table; ","")&amp;IF(AB26&gt;1,"document extracted twice; ",""),LEN(IF(O26="MISMATCH","lines do not sum to stated total (LABOUR_ALL); ","")&amp;IF(R26="MISMATCH","lines do not sum to stated total (INSTALL); ","")&amp;IF(U26="MISMATCH","lines do not sum to stated total (PRODUCT); ","")&amp;IF(X26="MISMATCH","lines do not sum to stated total (ALLOWANCE); ","")&amp;IF(AA26="MISMATCH","lines do not sum to grand total; ","")&amp;IF(OR(I26="1-"&amp;H26,AND(H26=1,I26="1")),"","pages not read; ")&amp;IF(K26="N","extracted without mapping table; ","")&amp;IF(AB26&gt;1,"document extracted twice; ",""))-2),""))</f>
        <v/>
      </c>
      <c r="AD26" s="2">
        <f>IF(AC26&lt;&gt;"",MAX($AD$1:AD25)+1,"")</f>
        <v/>
      </c>
    </row>
    <row r="27">
      <c r="A27" s="2" t="n">
        <v>26</v>
      </c>
      <c r="B27" s="2">
        <f>IFERROR(MATCH(A27,Lines!$AF$2:$AF$500,0),"")</f>
        <v/>
      </c>
      <c r="C27" s="2">
        <f>IF(B27="","",INDEX(Lines!$E$2:$E$500,B27)&amp;"")</f>
        <v/>
      </c>
      <c r="D27" s="2">
        <f>IF(B27="","",INDEX(Lines!$B$2:$B$500,B27)&amp;"")</f>
        <v/>
      </c>
      <c r="E27" s="2">
        <f>IF(B27="","",INDEX(Lines!$C$2:$C$500,B27)&amp;"")</f>
        <v/>
      </c>
      <c r="F27" s="2">
        <f>IF(B27="","",INDEX(Lines!$D$2:$D$500,B27)&amp;"")</f>
        <v/>
      </c>
      <c r="G27" s="2">
        <f>IF(B27="","",INDEX(Lines!$F$2:$F$500,B27)&amp;"")</f>
        <v/>
      </c>
      <c r="H27" s="2">
        <f>IF(B27="","",INDEX(Lines!$R$2:$R$500,B27))</f>
        <v/>
      </c>
      <c r="I27" s="2">
        <f>IF(B27="","",INDEX(Lines!$S$2:$S$500,B27)&amp;"")</f>
        <v/>
      </c>
      <c r="J27" s="2">
        <f>IF(B27="","",INDEX(Lines!$T$2:$T$500,B27)&amp;"")</f>
        <v/>
      </c>
      <c r="K27" s="2">
        <f>IF(B27="","",INDEX(Lines!$U$2:$U$500,B27)&amp;"")</f>
        <v/>
      </c>
      <c r="L27" s="2">
        <f>IF(B27="","",INDEX(Lines!$V$2:$V$500,B27)&amp;"")</f>
        <v/>
      </c>
      <c r="M27" s="9">
        <f>IF(C27="","",SUMIFS(Lines!$N$2:$N$500,Lines!$E$2:$E$500,C27,Lines!$A$2:$A$500,"total",Lines!$X$2:$X$500,"LABOUR_ALL"))</f>
        <v/>
      </c>
      <c r="N27" s="9">
        <f>IF(C27="","",SUMIFS(Lines!$N$2:$N$500,Lines!$E$2:$E$500,C27,Lines!$A$2:$A$500,"line",Lines!$X$2:$X$500,"LABOUR_ALL"))</f>
        <v/>
      </c>
      <c r="O27" s="2">
        <f>IF(C27="","",IF(M27=0,"no stated total",IF(ABS(M27-N27)&gt;Settings!$B$2,"MISMATCH","ok")))</f>
        <v/>
      </c>
      <c r="P27" s="9">
        <f>IF(C27="","",SUMIFS(Lines!$N$2:$N$500,Lines!$E$2:$E$500,C27,Lines!$A$2:$A$500,"total",Lines!$O$2:$O$500,"INSTALL"))</f>
        <v/>
      </c>
      <c r="Q27" s="9">
        <f>IF(C27="","",SUMIFS(Lines!$N$2:$N$500,Lines!$E$2:$E$500,C27,Lines!$A$2:$A$500,"line",Lines!$O$2:$O$500,"INSTALL"))</f>
        <v/>
      </c>
      <c r="R27" s="2">
        <f>IF(C27="","",IF(P27=0,"no stated total",IF(ABS(P27-Q27)&gt;Settings!$B$2,"MISMATCH","ok")))</f>
        <v/>
      </c>
      <c r="S27" s="9">
        <f>IF(C27="","",SUMIFS(Lines!$N$2:$N$500,Lines!$E$2:$E$500,C27,Lines!$A$2:$A$500,"total",Lines!$O$2:$O$500,"PRODUCT"))</f>
        <v/>
      </c>
      <c r="T27" s="9">
        <f>IF(C27="","",SUMIFS(Lines!$N$2:$N$500,Lines!$E$2:$E$500,C27,Lines!$A$2:$A$500,"line",Lines!$O$2:$O$500,"PRODUCT"))</f>
        <v/>
      </c>
      <c r="U27" s="2">
        <f>IF(C27="","",IF(S27=0,"no stated total",IF(ABS(S27-T27)&gt;Settings!$B$2,"MISMATCH","ok")))</f>
        <v/>
      </c>
      <c r="V27" s="9">
        <f>IF(C27="","",SUMIFS(Lines!$N$2:$N$500,Lines!$E$2:$E$500,C27,Lines!$A$2:$A$500,"total",Lines!$O$2:$O$500,"ALLOWANCE"))</f>
        <v/>
      </c>
      <c r="W27" s="9">
        <f>IF(C27="","",SUMIFS(Lines!$N$2:$N$500,Lines!$E$2:$E$500,C27,Lines!$A$2:$A$500,"line",Lines!$O$2:$O$500,"ALLOWANCE"))</f>
        <v/>
      </c>
      <c r="X27" s="2">
        <f>IF(C27="","",IF(V27=0,"no stated total",IF(ABS(V27-W27)&gt;Settings!$B$2,"MISMATCH","ok")))</f>
        <v/>
      </c>
      <c r="Y27" s="9">
        <f>IF(C27="","",SUMIFS(Lines!$N$2:$N$500,Lines!$E$2:$E$500,C27,Lines!$A$2:$A$500,"total",Lines!$O$2:$O$500,"GRAND"))</f>
        <v/>
      </c>
      <c r="Z27" s="9">
        <f>IF(C27="","",SUMIFS(Lines!$N$2:$N$500,Lines!$E$2:$E$500,C27,Lines!$A$2:$A$500,"line"))</f>
        <v/>
      </c>
      <c r="AA27" s="2">
        <f>IF(C27="","",IF(Y27=0,"no stated total",IF(ABS(Y27-Z27)&gt;Settings!$B$2,"MISMATCH","ok")))</f>
        <v/>
      </c>
      <c r="AB27" s="2">
        <f>IF(C27="","",COUNTIFS(Lines!$E$2:$E$500,C27,Lines!$A$2:$A$500,"coverage"))</f>
        <v/>
      </c>
      <c r="AC27" s="2">
        <f>IF(C27="","",IF(LEN(IF(O27="MISMATCH","lines do not sum to stated total (LABOUR_ALL); ","")&amp;IF(R27="MISMATCH","lines do not sum to stated total (INSTALL); ","")&amp;IF(U27="MISMATCH","lines do not sum to stated total (PRODUCT); ","")&amp;IF(X27="MISMATCH","lines do not sum to stated total (ALLOWANCE); ","")&amp;IF(AA27="MISMATCH","lines do not sum to grand total; ","")&amp;IF(OR(I27="1-"&amp;H27,AND(H27=1,I27="1")),"","pages not read; ")&amp;IF(K27="N","extracted without mapping table; ","")&amp;IF(AB27&gt;1,"document extracted twice; ",""))&gt;2,LEFT(IF(O27="MISMATCH","lines do not sum to stated total (LABOUR_ALL); ","")&amp;IF(R27="MISMATCH","lines do not sum to stated total (INSTALL); ","")&amp;IF(U27="MISMATCH","lines do not sum to stated total (PRODUCT); ","")&amp;IF(X27="MISMATCH","lines do not sum to stated total (ALLOWANCE); ","")&amp;IF(AA27="MISMATCH","lines do not sum to grand total; ","")&amp;IF(OR(I27="1-"&amp;H27,AND(H27=1,I27="1")),"","pages not read; ")&amp;IF(K27="N","extracted without mapping table; ","")&amp;IF(AB27&gt;1,"document extracted twice; ",""),LEN(IF(O27="MISMATCH","lines do not sum to stated total (LABOUR_ALL); ","")&amp;IF(R27="MISMATCH","lines do not sum to stated total (INSTALL); ","")&amp;IF(U27="MISMATCH","lines do not sum to stated total (PRODUCT); ","")&amp;IF(X27="MISMATCH","lines do not sum to stated total (ALLOWANCE); ","")&amp;IF(AA27="MISMATCH","lines do not sum to grand total; ","")&amp;IF(OR(I27="1-"&amp;H27,AND(H27=1,I27="1")),"","pages not read; ")&amp;IF(K27="N","extracted without mapping table; ","")&amp;IF(AB27&gt;1,"document extracted twice; ",""))-2),""))</f>
        <v/>
      </c>
      <c r="AD27" s="2">
        <f>IF(AC27&lt;&gt;"",MAX($AD$1:AD26)+1,"")</f>
        <v/>
      </c>
    </row>
    <row r="28">
      <c r="A28" s="2" t="n">
        <v>27</v>
      </c>
      <c r="B28" s="2">
        <f>IFERROR(MATCH(A28,Lines!$AF$2:$AF$500,0),"")</f>
        <v/>
      </c>
      <c r="C28" s="2">
        <f>IF(B28="","",INDEX(Lines!$E$2:$E$500,B28)&amp;"")</f>
        <v/>
      </c>
      <c r="D28" s="2">
        <f>IF(B28="","",INDEX(Lines!$B$2:$B$500,B28)&amp;"")</f>
        <v/>
      </c>
      <c r="E28" s="2">
        <f>IF(B28="","",INDEX(Lines!$C$2:$C$500,B28)&amp;"")</f>
        <v/>
      </c>
      <c r="F28" s="2">
        <f>IF(B28="","",INDEX(Lines!$D$2:$D$500,B28)&amp;"")</f>
        <v/>
      </c>
      <c r="G28" s="2">
        <f>IF(B28="","",INDEX(Lines!$F$2:$F$500,B28)&amp;"")</f>
        <v/>
      </c>
      <c r="H28" s="2">
        <f>IF(B28="","",INDEX(Lines!$R$2:$R$500,B28))</f>
        <v/>
      </c>
      <c r="I28" s="2">
        <f>IF(B28="","",INDEX(Lines!$S$2:$S$500,B28)&amp;"")</f>
        <v/>
      </c>
      <c r="J28" s="2">
        <f>IF(B28="","",INDEX(Lines!$T$2:$T$500,B28)&amp;"")</f>
        <v/>
      </c>
      <c r="K28" s="2">
        <f>IF(B28="","",INDEX(Lines!$U$2:$U$500,B28)&amp;"")</f>
        <v/>
      </c>
      <c r="L28" s="2">
        <f>IF(B28="","",INDEX(Lines!$V$2:$V$500,B28)&amp;"")</f>
        <v/>
      </c>
      <c r="M28" s="9">
        <f>IF(C28="","",SUMIFS(Lines!$N$2:$N$500,Lines!$E$2:$E$500,C28,Lines!$A$2:$A$500,"total",Lines!$X$2:$X$500,"LABOUR_ALL"))</f>
        <v/>
      </c>
      <c r="N28" s="9">
        <f>IF(C28="","",SUMIFS(Lines!$N$2:$N$500,Lines!$E$2:$E$500,C28,Lines!$A$2:$A$500,"line",Lines!$X$2:$X$500,"LABOUR_ALL"))</f>
        <v/>
      </c>
      <c r="O28" s="2">
        <f>IF(C28="","",IF(M28=0,"no stated total",IF(ABS(M28-N28)&gt;Settings!$B$2,"MISMATCH","ok")))</f>
        <v/>
      </c>
      <c r="P28" s="9">
        <f>IF(C28="","",SUMIFS(Lines!$N$2:$N$500,Lines!$E$2:$E$500,C28,Lines!$A$2:$A$500,"total",Lines!$O$2:$O$500,"INSTALL"))</f>
        <v/>
      </c>
      <c r="Q28" s="9">
        <f>IF(C28="","",SUMIFS(Lines!$N$2:$N$500,Lines!$E$2:$E$500,C28,Lines!$A$2:$A$500,"line",Lines!$O$2:$O$500,"INSTALL"))</f>
        <v/>
      </c>
      <c r="R28" s="2">
        <f>IF(C28="","",IF(P28=0,"no stated total",IF(ABS(P28-Q28)&gt;Settings!$B$2,"MISMATCH","ok")))</f>
        <v/>
      </c>
      <c r="S28" s="9">
        <f>IF(C28="","",SUMIFS(Lines!$N$2:$N$500,Lines!$E$2:$E$500,C28,Lines!$A$2:$A$500,"total",Lines!$O$2:$O$500,"PRODUCT"))</f>
        <v/>
      </c>
      <c r="T28" s="9">
        <f>IF(C28="","",SUMIFS(Lines!$N$2:$N$500,Lines!$E$2:$E$500,C28,Lines!$A$2:$A$500,"line",Lines!$O$2:$O$500,"PRODUCT"))</f>
        <v/>
      </c>
      <c r="U28" s="2">
        <f>IF(C28="","",IF(S28=0,"no stated total",IF(ABS(S28-T28)&gt;Settings!$B$2,"MISMATCH","ok")))</f>
        <v/>
      </c>
      <c r="V28" s="9">
        <f>IF(C28="","",SUMIFS(Lines!$N$2:$N$500,Lines!$E$2:$E$500,C28,Lines!$A$2:$A$500,"total",Lines!$O$2:$O$500,"ALLOWANCE"))</f>
        <v/>
      </c>
      <c r="W28" s="9">
        <f>IF(C28="","",SUMIFS(Lines!$N$2:$N$500,Lines!$E$2:$E$500,C28,Lines!$A$2:$A$500,"line",Lines!$O$2:$O$500,"ALLOWANCE"))</f>
        <v/>
      </c>
      <c r="X28" s="2">
        <f>IF(C28="","",IF(V28=0,"no stated total",IF(ABS(V28-W28)&gt;Settings!$B$2,"MISMATCH","ok")))</f>
        <v/>
      </c>
      <c r="Y28" s="9">
        <f>IF(C28="","",SUMIFS(Lines!$N$2:$N$500,Lines!$E$2:$E$500,C28,Lines!$A$2:$A$500,"total",Lines!$O$2:$O$500,"GRAND"))</f>
        <v/>
      </c>
      <c r="Z28" s="9">
        <f>IF(C28="","",SUMIFS(Lines!$N$2:$N$500,Lines!$E$2:$E$500,C28,Lines!$A$2:$A$500,"line"))</f>
        <v/>
      </c>
      <c r="AA28" s="2">
        <f>IF(C28="","",IF(Y28=0,"no stated total",IF(ABS(Y28-Z28)&gt;Settings!$B$2,"MISMATCH","ok")))</f>
        <v/>
      </c>
      <c r="AB28" s="2">
        <f>IF(C28="","",COUNTIFS(Lines!$E$2:$E$500,C28,Lines!$A$2:$A$500,"coverage"))</f>
        <v/>
      </c>
      <c r="AC28" s="2">
        <f>IF(C28="","",IF(LEN(IF(O28="MISMATCH","lines do not sum to stated total (LABOUR_ALL); ","")&amp;IF(R28="MISMATCH","lines do not sum to stated total (INSTALL); ","")&amp;IF(U28="MISMATCH","lines do not sum to stated total (PRODUCT); ","")&amp;IF(X28="MISMATCH","lines do not sum to stated total (ALLOWANCE); ","")&amp;IF(AA28="MISMATCH","lines do not sum to grand total; ","")&amp;IF(OR(I28="1-"&amp;H28,AND(H28=1,I28="1")),"","pages not read; ")&amp;IF(K28="N","extracted without mapping table; ","")&amp;IF(AB28&gt;1,"document extracted twice; ",""))&gt;2,LEFT(IF(O28="MISMATCH","lines do not sum to stated total (LABOUR_ALL); ","")&amp;IF(R28="MISMATCH","lines do not sum to stated total (INSTALL); ","")&amp;IF(U28="MISMATCH","lines do not sum to stated total (PRODUCT); ","")&amp;IF(X28="MISMATCH","lines do not sum to stated total (ALLOWANCE); ","")&amp;IF(AA28="MISMATCH","lines do not sum to grand total; ","")&amp;IF(OR(I28="1-"&amp;H28,AND(H28=1,I28="1")),"","pages not read; ")&amp;IF(K28="N","extracted without mapping table; ","")&amp;IF(AB28&gt;1,"document extracted twice; ",""),LEN(IF(O28="MISMATCH","lines do not sum to stated total (LABOUR_ALL); ","")&amp;IF(R28="MISMATCH","lines do not sum to stated total (INSTALL); ","")&amp;IF(U28="MISMATCH","lines do not sum to stated total (PRODUCT); ","")&amp;IF(X28="MISMATCH","lines do not sum to stated total (ALLOWANCE); ","")&amp;IF(AA28="MISMATCH","lines do not sum to grand total; ","")&amp;IF(OR(I28="1-"&amp;H28,AND(H28=1,I28="1")),"","pages not read; ")&amp;IF(K28="N","extracted without mapping table; ","")&amp;IF(AB28&gt;1,"document extracted twice; ",""))-2),""))</f>
        <v/>
      </c>
      <c r="AD28" s="2">
        <f>IF(AC28&lt;&gt;"",MAX($AD$1:AD27)+1,"")</f>
        <v/>
      </c>
    </row>
    <row r="29">
      <c r="A29" s="2" t="n">
        <v>28</v>
      </c>
      <c r="B29" s="2">
        <f>IFERROR(MATCH(A29,Lines!$AF$2:$AF$500,0),"")</f>
        <v/>
      </c>
      <c r="C29" s="2">
        <f>IF(B29="","",INDEX(Lines!$E$2:$E$500,B29)&amp;"")</f>
        <v/>
      </c>
      <c r="D29" s="2">
        <f>IF(B29="","",INDEX(Lines!$B$2:$B$500,B29)&amp;"")</f>
        <v/>
      </c>
      <c r="E29" s="2">
        <f>IF(B29="","",INDEX(Lines!$C$2:$C$500,B29)&amp;"")</f>
        <v/>
      </c>
      <c r="F29" s="2">
        <f>IF(B29="","",INDEX(Lines!$D$2:$D$500,B29)&amp;"")</f>
        <v/>
      </c>
      <c r="G29" s="2">
        <f>IF(B29="","",INDEX(Lines!$F$2:$F$500,B29)&amp;"")</f>
        <v/>
      </c>
      <c r="H29" s="2">
        <f>IF(B29="","",INDEX(Lines!$R$2:$R$500,B29))</f>
        <v/>
      </c>
      <c r="I29" s="2">
        <f>IF(B29="","",INDEX(Lines!$S$2:$S$500,B29)&amp;"")</f>
        <v/>
      </c>
      <c r="J29" s="2">
        <f>IF(B29="","",INDEX(Lines!$T$2:$T$500,B29)&amp;"")</f>
        <v/>
      </c>
      <c r="K29" s="2">
        <f>IF(B29="","",INDEX(Lines!$U$2:$U$500,B29)&amp;"")</f>
        <v/>
      </c>
      <c r="L29" s="2">
        <f>IF(B29="","",INDEX(Lines!$V$2:$V$500,B29)&amp;"")</f>
        <v/>
      </c>
      <c r="M29" s="9">
        <f>IF(C29="","",SUMIFS(Lines!$N$2:$N$500,Lines!$E$2:$E$500,C29,Lines!$A$2:$A$500,"total",Lines!$X$2:$X$500,"LABOUR_ALL"))</f>
        <v/>
      </c>
      <c r="N29" s="9">
        <f>IF(C29="","",SUMIFS(Lines!$N$2:$N$500,Lines!$E$2:$E$500,C29,Lines!$A$2:$A$500,"line",Lines!$X$2:$X$500,"LABOUR_ALL"))</f>
        <v/>
      </c>
      <c r="O29" s="2">
        <f>IF(C29="","",IF(M29=0,"no stated total",IF(ABS(M29-N29)&gt;Settings!$B$2,"MISMATCH","ok")))</f>
        <v/>
      </c>
      <c r="P29" s="9">
        <f>IF(C29="","",SUMIFS(Lines!$N$2:$N$500,Lines!$E$2:$E$500,C29,Lines!$A$2:$A$500,"total",Lines!$O$2:$O$500,"INSTALL"))</f>
        <v/>
      </c>
      <c r="Q29" s="9">
        <f>IF(C29="","",SUMIFS(Lines!$N$2:$N$500,Lines!$E$2:$E$500,C29,Lines!$A$2:$A$500,"line",Lines!$O$2:$O$500,"INSTALL"))</f>
        <v/>
      </c>
      <c r="R29" s="2">
        <f>IF(C29="","",IF(P29=0,"no stated total",IF(ABS(P29-Q29)&gt;Settings!$B$2,"MISMATCH","ok")))</f>
        <v/>
      </c>
      <c r="S29" s="9">
        <f>IF(C29="","",SUMIFS(Lines!$N$2:$N$500,Lines!$E$2:$E$500,C29,Lines!$A$2:$A$500,"total",Lines!$O$2:$O$500,"PRODUCT"))</f>
        <v/>
      </c>
      <c r="T29" s="9">
        <f>IF(C29="","",SUMIFS(Lines!$N$2:$N$500,Lines!$E$2:$E$500,C29,Lines!$A$2:$A$500,"line",Lines!$O$2:$O$500,"PRODUCT"))</f>
        <v/>
      </c>
      <c r="U29" s="2">
        <f>IF(C29="","",IF(S29=0,"no stated total",IF(ABS(S29-T29)&gt;Settings!$B$2,"MISMATCH","ok")))</f>
        <v/>
      </c>
      <c r="V29" s="9">
        <f>IF(C29="","",SUMIFS(Lines!$N$2:$N$500,Lines!$E$2:$E$500,C29,Lines!$A$2:$A$500,"total",Lines!$O$2:$O$500,"ALLOWANCE"))</f>
        <v/>
      </c>
      <c r="W29" s="9">
        <f>IF(C29="","",SUMIFS(Lines!$N$2:$N$500,Lines!$E$2:$E$500,C29,Lines!$A$2:$A$500,"line",Lines!$O$2:$O$500,"ALLOWANCE"))</f>
        <v/>
      </c>
      <c r="X29" s="2">
        <f>IF(C29="","",IF(V29=0,"no stated total",IF(ABS(V29-W29)&gt;Settings!$B$2,"MISMATCH","ok")))</f>
        <v/>
      </c>
      <c r="Y29" s="9">
        <f>IF(C29="","",SUMIFS(Lines!$N$2:$N$500,Lines!$E$2:$E$500,C29,Lines!$A$2:$A$500,"total",Lines!$O$2:$O$500,"GRAND"))</f>
        <v/>
      </c>
      <c r="Z29" s="9">
        <f>IF(C29="","",SUMIFS(Lines!$N$2:$N$500,Lines!$E$2:$E$500,C29,Lines!$A$2:$A$500,"line"))</f>
        <v/>
      </c>
      <c r="AA29" s="2">
        <f>IF(C29="","",IF(Y29=0,"no stated total",IF(ABS(Y29-Z29)&gt;Settings!$B$2,"MISMATCH","ok")))</f>
        <v/>
      </c>
      <c r="AB29" s="2">
        <f>IF(C29="","",COUNTIFS(Lines!$E$2:$E$500,C29,Lines!$A$2:$A$500,"coverage"))</f>
        <v/>
      </c>
      <c r="AC29" s="2">
        <f>IF(C29="","",IF(LEN(IF(O29="MISMATCH","lines do not sum to stated total (LABOUR_ALL); ","")&amp;IF(R29="MISMATCH","lines do not sum to stated total (INSTALL); ","")&amp;IF(U29="MISMATCH","lines do not sum to stated total (PRODUCT); ","")&amp;IF(X29="MISMATCH","lines do not sum to stated total (ALLOWANCE); ","")&amp;IF(AA29="MISMATCH","lines do not sum to grand total; ","")&amp;IF(OR(I29="1-"&amp;H29,AND(H29=1,I29="1")),"","pages not read; ")&amp;IF(K29="N","extracted without mapping table; ","")&amp;IF(AB29&gt;1,"document extracted twice; ",""))&gt;2,LEFT(IF(O29="MISMATCH","lines do not sum to stated total (LABOUR_ALL); ","")&amp;IF(R29="MISMATCH","lines do not sum to stated total (INSTALL); ","")&amp;IF(U29="MISMATCH","lines do not sum to stated total (PRODUCT); ","")&amp;IF(X29="MISMATCH","lines do not sum to stated total (ALLOWANCE); ","")&amp;IF(AA29="MISMATCH","lines do not sum to grand total; ","")&amp;IF(OR(I29="1-"&amp;H29,AND(H29=1,I29="1")),"","pages not read; ")&amp;IF(K29="N","extracted without mapping table; ","")&amp;IF(AB29&gt;1,"document extracted twice; ",""),LEN(IF(O29="MISMATCH","lines do not sum to stated total (LABOUR_ALL); ","")&amp;IF(R29="MISMATCH","lines do not sum to stated total (INSTALL); ","")&amp;IF(U29="MISMATCH","lines do not sum to stated total (PRODUCT); ","")&amp;IF(X29="MISMATCH","lines do not sum to stated total (ALLOWANCE); ","")&amp;IF(AA29="MISMATCH","lines do not sum to grand total; ","")&amp;IF(OR(I29="1-"&amp;H29,AND(H29=1,I29="1")),"","pages not read; ")&amp;IF(K29="N","extracted without mapping table; ","")&amp;IF(AB29&gt;1,"document extracted twice; ",""))-2),""))</f>
        <v/>
      </c>
      <c r="AD29" s="2">
        <f>IF(AC29&lt;&gt;"",MAX($AD$1:AD28)+1,"")</f>
        <v/>
      </c>
    </row>
    <row r="30">
      <c r="A30" s="2" t="n">
        <v>29</v>
      </c>
      <c r="B30" s="2">
        <f>IFERROR(MATCH(A30,Lines!$AF$2:$AF$500,0),"")</f>
        <v/>
      </c>
      <c r="C30" s="2">
        <f>IF(B30="","",INDEX(Lines!$E$2:$E$500,B30)&amp;"")</f>
        <v/>
      </c>
      <c r="D30" s="2">
        <f>IF(B30="","",INDEX(Lines!$B$2:$B$500,B30)&amp;"")</f>
        <v/>
      </c>
      <c r="E30" s="2">
        <f>IF(B30="","",INDEX(Lines!$C$2:$C$500,B30)&amp;"")</f>
        <v/>
      </c>
      <c r="F30" s="2">
        <f>IF(B30="","",INDEX(Lines!$D$2:$D$500,B30)&amp;"")</f>
        <v/>
      </c>
      <c r="G30" s="2">
        <f>IF(B30="","",INDEX(Lines!$F$2:$F$500,B30)&amp;"")</f>
        <v/>
      </c>
      <c r="H30" s="2">
        <f>IF(B30="","",INDEX(Lines!$R$2:$R$500,B30))</f>
        <v/>
      </c>
      <c r="I30" s="2">
        <f>IF(B30="","",INDEX(Lines!$S$2:$S$500,B30)&amp;"")</f>
        <v/>
      </c>
      <c r="J30" s="2">
        <f>IF(B30="","",INDEX(Lines!$T$2:$T$500,B30)&amp;"")</f>
        <v/>
      </c>
      <c r="K30" s="2">
        <f>IF(B30="","",INDEX(Lines!$U$2:$U$500,B30)&amp;"")</f>
        <v/>
      </c>
      <c r="L30" s="2">
        <f>IF(B30="","",INDEX(Lines!$V$2:$V$500,B30)&amp;"")</f>
        <v/>
      </c>
      <c r="M30" s="9">
        <f>IF(C30="","",SUMIFS(Lines!$N$2:$N$500,Lines!$E$2:$E$500,C30,Lines!$A$2:$A$500,"total",Lines!$X$2:$X$500,"LABOUR_ALL"))</f>
        <v/>
      </c>
      <c r="N30" s="9">
        <f>IF(C30="","",SUMIFS(Lines!$N$2:$N$500,Lines!$E$2:$E$500,C30,Lines!$A$2:$A$500,"line",Lines!$X$2:$X$500,"LABOUR_ALL"))</f>
        <v/>
      </c>
      <c r="O30" s="2">
        <f>IF(C30="","",IF(M30=0,"no stated total",IF(ABS(M30-N30)&gt;Settings!$B$2,"MISMATCH","ok")))</f>
        <v/>
      </c>
      <c r="P30" s="9">
        <f>IF(C30="","",SUMIFS(Lines!$N$2:$N$500,Lines!$E$2:$E$500,C30,Lines!$A$2:$A$500,"total",Lines!$O$2:$O$500,"INSTALL"))</f>
        <v/>
      </c>
      <c r="Q30" s="9">
        <f>IF(C30="","",SUMIFS(Lines!$N$2:$N$500,Lines!$E$2:$E$500,C30,Lines!$A$2:$A$500,"line",Lines!$O$2:$O$500,"INSTALL"))</f>
        <v/>
      </c>
      <c r="R30" s="2">
        <f>IF(C30="","",IF(P30=0,"no stated total",IF(ABS(P30-Q30)&gt;Settings!$B$2,"MISMATCH","ok")))</f>
        <v/>
      </c>
      <c r="S30" s="9">
        <f>IF(C30="","",SUMIFS(Lines!$N$2:$N$500,Lines!$E$2:$E$500,C30,Lines!$A$2:$A$500,"total",Lines!$O$2:$O$500,"PRODUCT"))</f>
        <v/>
      </c>
      <c r="T30" s="9">
        <f>IF(C30="","",SUMIFS(Lines!$N$2:$N$500,Lines!$E$2:$E$500,C30,Lines!$A$2:$A$500,"line",Lines!$O$2:$O$500,"PRODUCT"))</f>
        <v/>
      </c>
      <c r="U30" s="2">
        <f>IF(C30="","",IF(S30=0,"no stated total",IF(ABS(S30-T30)&gt;Settings!$B$2,"MISMATCH","ok")))</f>
        <v/>
      </c>
      <c r="V30" s="9">
        <f>IF(C30="","",SUMIFS(Lines!$N$2:$N$500,Lines!$E$2:$E$500,C30,Lines!$A$2:$A$500,"total",Lines!$O$2:$O$500,"ALLOWANCE"))</f>
        <v/>
      </c>
      <c r="W30" s="9">
        <f>IF(C30="","",SUMIFS(Lines!$N$2:$N$500,Lines!$E$2:$E$500,C30,Lines!$A$2:$A$500,"line",Lines!$O$2:$O$500,"ALLOWANCE"))</f>
        <v/>
      </c>
      <c r="X30" s="2">
        <f>IF(C30="","",IF(V30=0,"no stated total",IF(ABS(V30-W30)&gt;Settings!$B$2,"MISMATCH","ok")))</f>
        <v/>
      </c>
      <c r="Y30" s="9">
        <f>IF(C30="","",SUMIFS(Lines!$N$2:$N$500,Lines!$E$2:$E$500,C30,Lines!$A$2:$A$500,"total",Lines!$O$2:$O$500,"GRAND"))</f>
        <v/>
      </c>
      <c r="Z30" s="9">
        <f>IF(C30="","",SUMIFS(Lines!$N$2:$N$500,Lines!$E$2:$E$500,C30,Lines!$A$2:$A$500,"line"))</f>
        <v/>
      </c>
      <c r="AA30" s="2">
        <f>IF(C30="","",IF(Y30=0,"no stated total",IF(ABS(Y30-Z30)&gt;Settings!$B$2,"MISMATCH","ok")))</f>
        <v/>
      </c>
      <c r="AB30" s="2">
        <f>IF(C30="","",COUNTIFS(Lines!$E$2:$E$500,C30,Lines!$A$2:$A$500,"coverage"))</f>
        <v/>
      </c>
      <c r="AC30" s="2">
        <f>IF(C30="","",IF(LEN(IF(O30="MISMATCH","lines do not sum to stated total (LABOUR_ALL); ","")&amp;IF(R30="MISMATCH","lines do not sum to stated total (INSTALL); ","")&amp;IF(U30="MISMATCH","lines do not sum to stated total (PRODUCT); ","")&amp;IF(X30="MISMATCH","lines do not sum to stated total (ALLOWANCE); ","")&amp;IF(AA30="MISMATCH","lines do not sum to grand total; ","")&amp;IF(OR(I30="1-"&amp;H30,AND(H30=1,I30="1")),"","pages not read; ")&amp;IF(K30="N","extracted without mapping table; ","")&amp;IF(AB30&gt;1,"document extracted twice; ",""))&gt;2,LEFT(IF(O30="MISMATCH","lines do not sum to stated total (LABOUR_ALL); ","")&amp;IF(R30="MISMATCH","lines do not sum to stated total (INSTALL); ","")&amp;IF(U30="MISMATCH","lines do not sum to stated total (PRODUCT); ","")&amp;IF(X30="MISMATCH","lines do not sum to stated total (ALLOWANCE); ","")&amp;IF(AA30="MISMATCH","lines do not sum to grand total; ","")&amp;IF(OR(I30="1-"&amp;H30,AND(H30=1,I30="1")),"","pages not read; ")&amp;IF(K30="N","extracted without mapping table; ","")&amp;IF(AB30&gt;1,"document extracted twice; ",""),LEN(IF(O30="MISMATCH","lines do not sum to stated total (LABOUR_ALL); ","")&amp;IF(R30="MISMATCH","lines do not sum to stated total (INSTALL); ","")&amp;IF(U30="MISMATCH","lines do not sum to stated total (PRODUCT); ","")&amp;IF(X30="MISMATCH","lines do not sum to stated total (ALLOWANCE); ","")&amp;IF(AA30="MISMATCH","lines do not sum to grand total; ","")&amp;IF(OR(I30="1-"&amp;H30,AND(H30=1,I30="1")),"","pages not read; ")&amp;IF(K30="N","extracted without mapping table; ","")&amp;IF(AB30&gt;1,"document extracted twice; ",""))-2),""))</f>
        <v/>
      </c>
      <c r="AD30" s="2">
        <f>IF(AC30&lt;&gt;"",MAX($AD$1:AD29)+1,"")</f>
        <v/>
      </c>
    </row>
    <row r="31">
      <c r="A31" s="2" t="n">
        <v>30</v>
      </c>
      <c r="B31" s="2">
        <f>IFERROR(MATCH(A31,Lines!$AF$2:$AF$500,0),"")</f>
        <v/>
      </c>
      <c r="C31" s="2">
        <f>IF(B31="","",INDEX(Lines!$E$2:$E$500,B31)&amp;"")</f>
        <v/>
      </c>
      <c r="D31" s="2">
        <f>IF(B31="","",INDEX(Lines!$B$2:$B$500,B31)&amp;"")</f>
        <v/>
      </c>
      <c r="E31" s="2">
        <f>IF(B31="","",INDEX(Lines!$C$2:$C$500,B31)&amp;"")</f>
        <v/>
      </c>
      <c r="F31" s="2">
        <f>IF(B31="","",INDEX(Lines!$D$2:$D$500,B31)&amp;"")</f>
        <v/>
      </c>
      <c r="G31" s="2">
        <f>IF(B31="","",INDEX(Lines!$F$2:$F$500,B31)&amp;"")</f>
        <v/>
      </c>
      <c r="H31" s="2">
        <f>IF(B31="","",INDEX(Lines!$R$2:$R$500,B31))</f>
        <v/>
      </c>
      <c r="I31" s="2">
        <f>IF(B31="","",INDEX(Lines!$S$2:$S$500,B31)&amp;"")</f>
        <v/>
      </c>
      <c r="J31" s="2">
        <f>IF(B31="","",INDEX(Lines!$T$2:$T$500,B31)&amp;"")</f>
        <v/>
      </c>
      <c r="K31" s="2">
        <f>IF(B31="","",INDEX(Lines!$U$2:$U$500,B31)&amp;"")</f>
        <v/>
      </c>
      <c r="L31" s="2">
        <f>IF(B31="","",INDEX(Lines!$V$2:$V$500,B31)&amp;"")</f>
        <v/>
      </c>
      <c r="M31" s="9">
        <f>IF(C31="","",SUMIFS(Lines!$N$2:$N$500,Lines!$E$2:$E$500,C31,Lines!$A$2:$A$500,"total",Lines!$X$2:$X$500,"LABOUR_ALL"))</f>
        <v/>
      </c>
      <c r="N31" s="9">
        <f>IF(C31="","",SUMIFS(Lines!$N$2:$N$500,Lines!$E$2:$E$500,C31,Lines!$A$2:$A$500,"line",Lines!$X$2:$X$500,"LABOUR_ALL"))</f>
        <v/>
      </c>
      <c r="O31" s="2">
        <f>IF(C31="","",IF(M31=0,"no stated total",IF(ABS(M31-N31)&gt;Settings!$B$2,"MISMATCH","ok")))</f>
        <v/>
      </c>
      <c r="P31" s="9">
        <f>IF(C31="","",SUMIFS(Lines!$N$2:$N$500,Lines!$E$2:$E$500,C31,Lines!$A$2:$A$500,"total",Lines!$O$2:$O$500,"INSTALL"))</f>
        <v/>
      </c>
      <c r="Q31" s="9">
        <f>IF(C31="","",SUMIFS(Lines!$N$2:$N$500,Lines!$E$2:$E$500,C31,Lines!$A$2:$A$500,"line",Lines!$O$2:$O$500,"INSTALL"))</f>
        <v/>
      </c>
      <c r="R31" s="2">
        <f>IF(C31="","",IF(P31=0,"no stated total",IF(ABS(P31-Q31)&gt;Settings!$B$2,"MISMATCH","ok")))</f>
        <v/>
      </c>
      <c r="S31" s="9">
        <f>IF(C31="","",SUMIFS(Lines!$N$2:$N$500,Lines!$E$2:$E$500,C31,Lines!$A$2:$A$500,"total",Lines!$O$2:$O$500,"PRODUCT"))</f>
        <v/>
      </c>
      <c r="T31" s="9">
        <f>IF(C31="","",SUMIFS(Lines!$N$2:$N$500,Lines!$E$2:$E$500,C31,Lines!$A$2:$A$500,"line",Lines!$O$2:$O$500,"PRODUCT"))</f>
        <v/>
      </c>
      <c r="U31" s="2">
        <f>IF(C31="","",IF(S31=0,"no stated total",IF(ABS(S31-T31)&gt;Settings!$B$2,"MISMATCH","ok")))</f>
        <v/>
      </c>
      <c r="V31" s="9">
        <f>IF(C31="","",SUMIFS(Lines!$N$2:$N$500,Lines!$E$2:$E$500,C31,Lines!$A$2:$A$500,"total",Lines!$O$2:$O$500,"ALLOWANCE"))</f>
        <v/>
      </c>
      <c r="W31" s="9">
        <f>IF(C31="","",SUMIFS(Lines!$N$2:$N$500,Lines!$E$2:$E$500,C31,Lines!$A$2:$A$500,"line",Lines!$O$2:$O$500,"ALLOWANCE"))</f>
        <v/>
      </c>
      <c r="X31" s="2">
        <f>IF(C31="","",IF(V31=0,"no stated total",IF(ABS(V31-W31)&gt;Settings!$B$2,"MISMATCH","ok")))</f>
        <v/>
      </c>
      <c r="Y31" s="9">
        <f>IF(C31="","",SUMIFS(Lines!$N$2:$N$500,Lines!$E$2:$E$500,C31,Lines!$A$2:$A$500,"total",Lines!$O$2:$O$500,"GRAND"))</f>
        <v/>
      </c>
      <c r="Z31" s="9">
        <f>IF(C31="","",SUMIFS(Lines!$N$2:$N$500,Lines!$E$2:$E$500,C31,Lines!$A$2:$A$500,"line"))</f>
        <v/>
      </c>
      <c r="AA31" s="2">
        <f>IF(C31="","",IF(Y31=0,"no stated total",IF(ABS(Y31-Z31)&gt;Settings!$B$2,"MISMATCH","ok")))</f>
        <v/>
      </c>
      <c r="AB31" s="2">
        <f>IF(C31="","",COUNTIFS(Lines!$E$2:$E$500,C31,Lines!$A$2:$A$500,"coverage"))</f>
        <v/>
      </c>
      <c r="AC31" s="2">
        <f>IF(C31="","",IF(LEN(IF(O31="MISMATCH","lines do not sum to stated total (LABOUR_ALL); ","")&amp;IF(R31="MISMATCH","lines do not sum to stated total (INSTALL); ","")&amp;IF(U31="MISMATCH","lines do not sum to stated total (PRODUCT); ","")&amp;IF(X31="MISMATCH","lines do not sum to stated total (ALLOWANCE); ","")&amp;IF(AA31="MISMATCH","lines do not sum to grand total; ","")&amp;IF(OR(I31="1-"&amp;H31,AND(H31=1,I31="1")),"","pages not read; ")&amp;IF(K31="N","extracted without mapping table; ","")&amp;IF(AB31&gt;1,"document extracted twice; ",""))&gt;2,LEFT(IF(O31="MISMATCH","lines do not sum to stated total (LABOUR_ALL); ","")&amp;IF(R31="MISMATCH","lines do not sum to stated total (INSTALL); ","")&amp;IF(U31="MISMATCH","lines do not sum to stated total (PRODUCT); ","")&amp;IF(X31="MISMATCH","lines do not sum to stated total (ALLOWANCE); ","")&amp;IF(AA31="MISMATCH","lines do not sum to grand total; ","")&amp;IF(OR(I31="1-"&amp;H31,AND(H31=1,I31="1")),"","pages not read; ")&amp;IF(K31="N","extracted without mapping table; ","")&amp;IF(AB31&gt;1,"document extracted twice; ",""),LEN(IF(O31="MISMATCH","lines do not sum to stated total (LABOUR_ALL); ","")&amp;IF(R31="MISMATCH","lines do not sum to stated total (INSTALL); ","")&amp;IF(U31="MISMATCH","lines do not sum to stated total (PRODUCT); ","")&amp;IF(X31="MISMATCH","lines do not sum to stated total (ALLOWANCE); ","")&amp;IF(AA31="MISMATCH","lines do not sum to grand total; ","")&amp;IF(OR(I31="1-"&amp;H31,AND(H31=1,I31="1")),"","pages not read; ")&amp;IF(K31="N","extracted without mapping table; ","")&amp;IF(AB31&gt;1,"document extracted twice; ",""))-2),""))</f>
        <v/>
      </c>
      <c r="AD31" s="2">
        <f>IF(AC31&lt;&gt;"",MAX($AD$1:AD30)+1,"")</f>
        <v/>
      </c>
    </row>
    <row r="32">
      <c r="A32" s="2" t="n">
        <v>31</v>
      </c>
      <c r="B32" s="2">
        <f>IFERROR(MATCH(A32,Lines!$AF$2:$AF$500,0),"")</f>
        <v/>
      </c>
      <c r="C32" s="2">
        <f>IF(B32="","",INDEX(Lines!$E$2:$E$500,B32)&amp;"")</f>
        <v/>
      </c>
      <c r="D32" s="2">
        <f>IF(B32="","",INDEX(Lines!$B$2:$B$500,B32)&amp;"")</f>
        <v/>
      </c>
      <c r="E32" s="2">
        <f>IF(B32="","",INDEX(Lines!$C$2:$C$500,B32)&amp;"")</f>
        <v/>
      </c>
      <c r="F32" s="2">
        <f>IF(B32="","",INDEX(Lines!$D$2:$D$500,B32)&amp;"")</f>
        <v/>
      </c>
      <c r="G32" s="2">
        <f>IF(B32="","",INDEX(Lines!$F$2:$F$500,B32)&amp;"")</f>
        <v/>
      </c>
      <c r="H32" s="2">
        <f>IF(B32="","",INDEX(Lines!$R$2:$R$500,B32))</f>
        <v/>
      </c>
      <c r="I32" s="2">
        <f>IF(B32="","",INDEX(Lines!$S$2:$S$500,B32)&amp;"")</f>
        <v/>
      </c>
      <c r="J32" s="2">
        <f>IF(B32="","",INDEX(Lines!$T$2:$T$500,B32)&amp;"")</f>
        <v/>
      </c>
      <c r="K32" s="2">
        <f>IF(B32="","",INDEX(Lines!$U$2:$U$500,B32)&amp;"")</f>
        <v/>
      </c>
      <c r="L32" s="2">
        <f>IF(B32="","",INDEX(Lines!$V$2:$V$500,B32)&amp;"")</f>
        <v/>
      </c>
      <c r="M32" s="9">
        <f>IF(C32="","",SUMIFS(Lines!$N$2:$N$500,Lines!$E$2:$E$500,C32,Lines!$A$2:$A$500,"total",Lines!$X$2:$X$500,"LABOUR_ALL"))</f>
        <v/>
      </c>
      <c r="N32" s="9">
        <f>IF(C32="","",SUMIFS(Lines!$N$2:$N$500,Lines!$E$2:$E$500,C32,Lines!$A$2:$A$500,"line",Lines!$X$2:$X$500,"LABOUR_ALL"))</f>
        <v/>
      </c>
      <c r="O32" s="2">
        <f>IF(C32="","",IF(M32=0,"no stated total",IF(ABS(M32-N32)&gt;Settings!$B$2,"MISMATCH","ok")))</f>
        <v/>
      </c>
      <c r="P32" s="9">
        <f>IF(C32="","",SUMIFS(Lines!$N$2:$N$500,Lines!$E$2:$E$500,C32,Lines!$A$2:$A$500,"total",Lines!$O$2:$O$500,"INSTALL"))</f>
        <v/>
      </c>
      <c r="Q32" s="9">
        <f>IF(C32="","",SUMIFS(Lines!$N$2:$N$500,Lines!$E$2:$E$500,C32,Lines!$A$2:$A$500,"line",Lines!$O$2:$O$500,"INSTALL"))</f>
        <v/>
      </c>
      <c r="R32" s="2">
        <f>IF(C32="","",IF(P32=0,"no stated total",IF(ABS(P32-Q32)&gt;Settings!$B$2,"MISMATCH","ok")))</f>
        <v/>
      </c>
      <c r="S32" s="9">
        <f>IF(C32="","",SUMIFS(Lines!$N$2:$N$500,Lines!$E$2:$E$500,C32,Lines!$A$2:$A$500,"total",Lines!$O$2:$O$500,"PRODUCT"))</f>
        <v/>
      </c>
      <c r="T32" s="9">
        <f>IF(C32="","",SUMIFS(Lines!$N$2:$N$500,Lines!$E$2:$E$500,C32,Lines!$A$2:$A$500,"line",Lines!$O$2:$O$500,"PRODUCT"))</f>
        <v/>
      </c>
      <c r="U32" s="2">
        <f>IF(C32="","",IF(S32=0,"no stated total",IF(ABS(S32-T32)&gt;Settings!$B$2,"MISMATCH","ok")))</f>
        <v/>
      </c>
      <c r="V32" s="9">
        <f>IF(C32="","",SUMIFS(Lines!$N$2:$N$500,Lines!$E$2:$E$500,C32,Lines!$A$2:$A$500,"total",Lines!$O$2:$O$500,"ALLOWANCE"))</f>
        <v/>
      </c>
      <c r="W32" s="9">
        <f>IF(C32="","",SUMIFS(Lines!$N$2:$N$500,Lines!$E$2:$E$500,C32,Lines!$A$2:$A$500,"line",Lines!$O$2:$O$500,"ALLOWANCE"))</f>
        <v/>
      </c>
      <c r="X32" s="2">
        <f>IF(C32="","",IF(V32=0,"no stated total",IF(ABS(V32-W32)&gt;Settings!$B$2,"MISMATCH","ok")))</f>
        <v/>
      </c>
      <c r="Y32" s="9">
        <f>IF(C32="","",SUMIFS(Lines!$N$2:$N$500,Lines!$E$2:$E$500,C32,Lines!$A$2:$A$500,"total",Lines!$O$2:$O$500,"GRAND"))</f>
        <v/>
      </c>
      <c r="Z32" s="9">
        <f>IF(C32="","",SUMIFS(Lines!$N$2:$N$500,Lines!$E$2:$E$500,C32,Lines!$A$2:$A$500,"line"))</f>
        <v/>
      </c>
      <c r="AA32" s="2">
        <f>IF(C32="","",IF(Y32=0,"no stated total",IF(ABS(Y32-Z32)&gt;Settings!$B$2,"MISMATCH","ok")))</f>
        <v/>
      </c>
      <c r="AB32" s="2">
        <f>IF(C32="","",COUNTIFS(Lines!$E$2:$E$500,C32,Lines!$A$2:$A$500,"coverage"))</f>
        <v/>
      </c>
      <c r="AC32" s="2">
        <f>IF(C32="","",IF(LEN(IF(O32="MISMATCH","lines do not sum to stated total (LABOUR_ALL); ","")&amp;IF(R32="MISMATCH","lines do not sum to stated total (INSTALL); ","")&amp;IF(U32="MISMATCH","lines do not sum to stated total (PRODUCT); ","")&amp;IF(X32="MISMATCH","lines do not sum to stated total (ALLOWANCE); ","")&amp;IF(AA32="MISMATCH","lines do not sum to grand total; ","")&amp;IF(OR(I32="1-"&amp;H32,AND(H32=1,I32="1")),"","pages not read; ")&amp;IF(K32="N","extracted without mapping table; ","")&amp;IF(AB32&gt;1,"document extracted twice; ",""))&gt;2,LEFT(IF(O32="MISMATCH","lines do not sum to stated total (LABOUR_ALL); ","")&amp;IF(R32="MISMATCH","lines do not sum to stated total (INSTALL); ","")&amp;IF(U32="MISMATCH","lines do not sum to stated total (PRODUCT); ","")&amp;IF(X32="MISMATCH","lines do not sum to stated total (ALLOWANCE); ","")&amp;IF(AA32="MISMATCH","lines do not sum to grand total; ","")&amp;IF(OR(I32="1-"&amp;H32,AND(H32=1,I32="1")),"","pages not read; ")&amp;IF(K32="N","extracted without mapping table; ","")&amp;IF(AB32&gt;1,"document extracted twice; ",""),LEN(IF(O32="MISMATCH","lines do not sum to stated total (LABOUR_ALL); ","")&amp;IF(R32="MISMATCH","lines do not sum to stated total (INSTALL); ","")&amp;IF(U32="MISMATCH","lines do not sum to stated total (PRODUCT); ","")&amp;IF(X32="MISMATCH","lines do not sum to stated total (ALLOWANCE); ","")&amp;IF(AA32="MISMATCH","lines do not sum to grand total; ","")&amp;IF(OR(I32="1-"&amp;H32,AND(H32=1,I32="1")),"","pages not read; ")&amp;IF(K32="N","extracted without mapping table; ","")&amp;IF(AB32&gt;1,"document extracted twice; ",""))-2),""))</f>
        <v/>
      </c>
      <c r="AD32" s="2">
        <f>IF(AC32&lt;&gt;"",MAX($AD$1:AD31)+1,"")</f>
        <v/>
      </c>
    </row>
    <row r="33">
      <c r="A33" s="2" t="n">
        <v>32</v>
      </c>
      <c r="B33" s="2">
        <f>IFERROR(MATCH(A33,Lines!$AF$2:$AF$500,0),"")</f>
        <v/>
      </c>
      <c r="C33" s="2">
        <f>IF(B33="","",INDEX(Lines!$E$2:$E$500,B33)&amp;"")</f>
        <v/>
      </c>
      <c r="D33" s="2">
        <f>IF(B33="","",INDEX(Lines!$B$2:$B$500,B33)&amp;"")</f>
        <v/>
      </c>
      <c r="E33" s="2">
        <f>IF(B33="","",INDEX(Lines!$C$2:$C$500,B33)&amp;"")</f>
        <v/>
      </c>
      <c r="F33" s="2">
        <f>IF(B33="","",INDEX(Lines!$D$2:$D$500,B33)&amp;"")</f>
        <v/>
      </c>
      <c r="G33" s="2">
        <f>IF(B33="","",INDEX(Lines!$F$2:$F$500,B33)&amp;"")</f>
        <v/>
      </c>
      <c r="H33" s="2">
        <f>IF(B33="","",INDEX(Lines!$R$2:$R$500,B33))</f>
        <v/>
      </c>
      <c r="I33" s="2">
        <f>IF(B33="","",INDEX(Lines!$S$2:$S$500,B33)&amp;"")</f>
        <v/>
      </c>
      <c r="J33" s="2">
        <f>IF(B33="","",INDEX(Lines!$T$2:$T$500,B33)&amp;"")</f>
        <v/>
      </c>
      <c r="K33" s="2">
        <f>IF(B33="","",INDEX(Lines!$U$2:$U$500,B33)&amp;"")</f>
        <v/>
      </c>
      <c r="L33" s="2">
        <f>IF(B33="","",INDEX(Lines!$V$2:$V$500,B33)&amp;"")</f>
        <v/>
      </c>
      <c r="M33" s="9">
        <f>IF(C33="","",SUMIFS(Lines!$N$2:$N$500,Lines!$E$2:$E$500,C33,Lines!$A$2:$A$500,"total",Lines!$X$2:$X$500,"LABOUR_ALL"))</f>
        <v/>
      </c>
      <c r="N33" s="9">
        <f>IF(C33="","",SUMIFS(Lines!$N$2:$N$500,Lines!$E$2:$E$500,C33,Lines!$A$2:$A$500,"line",Lines!$X$2:$X$500,"LABOUR_ALL"))</f>
        <v/>
      </c>
      <c r="O33" s="2">
        <f>IF(C33="","",IF(M33=0,"no stated total",IF(ABS(M33-N33)&gt;Settings!$B$2,"MISMATCH","ok")))</f>
        <v/>
      </c>
      <c r="P33" s="9">
        <f>IF(C33="","",SUMIFS(Lines!$N$2:$N$500,Lines!$E$2:$E$500,C33,Lines!$A$2:$A$500,"total",Lines!$O$2:$O$500,"INSTALL"))</f>
        <v/>
      </c>
      <c r="Q33" s="9">
        <f>IF(C33="","",SUMIFS(Lines!$N$2:$N$500,Lines!$E$2:$E$500,C33,Lines!$A$2:$A$500,"line",Lines!$O$2:$O$500,"INSTALL"))</f>
        <v/>
      </c>
      <c r="R33" s="2">
        <f>IF(C33="","",IF(P33=0,"no stated total",IF(ABS(P33-Q33)&gt;Settings!$B$2,"MISMATCH","ok")))</f>
        <v/>
      </c>
      <c r="S33" s="9">
        <f>IF(C33="","",SUMIFS(Lines!$N$2:$N$500,Lines!$E$2:$E$500,C33,Lines!$A$2:$A$500,"total",Lines!$O$2:$O$500,"PRODUCT"))</f>
        <v/>
      </c>
      <c r="T33" s="9">
        <f>IF(C33="","",SUMIFS(Lines!$N$2:$N$500,Lines!$E$2:$E$500,C33,Lines!$A$2:$A$500,"line",Lines!$O$2:$O$500,"PRODUCT"))</f>
        <v/>
      </c>
      <c r="U33" s="2">
        <f>IF(C33="","",IF(S33=0,"no stated total",IF(ABS(S33-T33)&gt;Settings!$B$2,"MISMATCH","ok")))</f>
        <v/>
      </c>
      <c r="V33" s="9">
        <f>IF(C33="","",SUMIFS(Lines!$N$2:$N$500,Lines!$E$2:$E$500,C33,Lines!$A$2:$A$500,"total",Lines!$O$2:$O$500,"ALLOWANCE"))</f>
        <v/>
      </c>
      <c r="W33" s="9">
        <f>IF(C33="","",SUMIFS(Lines!$N$2:$N$500,Lines!$E$2:$E$500,C33,Lines!$A$2:$A$500,"line",Lines!$O$2:$O$500,"ALLOWANCE"))</f>
        <v/>
      </c>
      <c r="X33" s="2">
        <f>IF(C33="","",IF(V33=0,"no stated total",IF(ABS(V33-W33)&gt;Settings!$B$2,"MISMATCH","ok")))</f>
        <v/>
      </c>
      <c r="Y33" s="9">
        <f>IF(C33="","",SUMIFS(Lines!$N$2:$N$500,Lines!$E$2:$E$500,C33,Lines!$A$2:$A$500,"total",Lines!$O$2:$O$500,"GRAND"))</f>
        <v/>
      </c>
      <c r="Z33" s="9">
        <f>IF(C33="","",SUMIFS(Lines!$N$2:$N$500,Lines!$E$2:$E$500,C33,Lines!$A$2:$A$500,"line"))</f>
        <v/>
      </c>
      <c r="AA33" s="2">
        <f>IF(C33="","",IF(Y33=0,"no stated total",IF(ABS(Y33-Z33)&gt;Settings!$B$2,"MISMATCH","ok")))</f>
        <v/>
      </c>
      <c r="AB33" s="2">
        <f>IF(C33="","",COUNTIFS(Lines!$E$2:$E$500,C33,Lines!$A$2:$A$500,"coverage"))</f>
        <v/>
      </c>
      <c r="AC33" s="2">
        <f>IF(C33="","",IF(LEN(IF(O33="MISMATCH","lines do not sum to stated total (LABOUR_ALL); ","")&amp;IF(R33="MISMATCH","lines do not sum to stated total (INSTALL); ","")&amp;IF(U33="MISMATCH","lines do not sum to stated total (PRODUCT); ","")&amp;IF(X33="MISMATCH","lines do not sum to stated total (ALLOWANCE); ","")&amp;IF(AA33="MISMATCH","lines do not sum to grand total; ","")&amp;IF(OR(I33="1-"&amp;H33,AND(H33=1,I33="1")),"","pages not read; ")&amp;IF(K33="N","extracted without mapping table; ","")&amp;IF(AB33&gt;1,"document extracted twice; ",""))&gt;2,LEFT(IF(O33="MISMATCH","lines do not sum to stated total (LABOUR_ALL); ","")&amp;IF(R33="MISMATCH","lines do not sum to stated total (INSTALL); ","")&amp;IF(U33="MISMATCH","lines do not sum to stated total (PRODUCT); ","")&amp;IF(X33="MISMATCH","lines do not sum to stated total (ALLOWANCE); ","")&amp;IF(AA33="MISMATCH","lines do not sum to grand total; ","")&amp;IF(OR(I33="1-"&amp;H33,AND(H33=1,I33="1")),"","pages not read; ")&amp;IF(K33="N","extracted without mapping table; ","")&amp;IF(AB33&gt;1,"document extracted twice; ",""),LEN(IF(O33="MISMATCH","lines do not sum to stated total (LABOUR_ALL); ","")&amp;IF(R33="MISMATCH","lines do not sum to stated total (INSTALL); ","")&amp;IF(U33="MISMATCH","lines do not sum to stated total (PRODUCT); ","")&amp;IF(X33="MISMATCH","lines do not sum to stated total (ALLOWANCE); ","")&amp;IF(AA33="MISMATCH","lines do not sum to grand total; ","")&amp;IF(OR(I33="1-"&amp;H33,AND(H33=1,I33="1")),"","pages not read; ")&amp;IF(K33="N","extracted without mapping table; ","")&amp;IF(AB33&gt;1,"document extracted twice; ",""))-2),""))</f>
        <v/>
      </c>
      <c r="AD33" s="2">
        <f>IF(AC33&lt;&gt;"",MAX($AD$1:AD32)+1,"")</f>
        <v/>
      </c>
    </row>
    <row r="34">
      <c r="A34" s="2" t="n">
        <v>33</v>
      </c>
      <c r="B34" s="2">
        <f>IFERROR(MATCH(A34,Lines!$AF$2:$AF$500,0),"")</f>
        <v/>
      </c>
      <c r="C34" s="2">
        <f>IF(B34="","",INDEX(Lines!$E$2:$E$500,B34)&amp;"")</f>
        <v/>
      </c>
      <c r="D34" s="2">
        <f>IF(B34="","",INDEX(Lines!$B$2:$B$500,B34)&amp;"")</f>
        <v/>
      </c>
      <c r="E34" s="2">
        <f>IF(B34="","",INDEX(Lines!$C$2:$C$500,B34)&amp;"")</f>
        <v/>
      </c>
      <c r="F34" s="2">
        <f>IF(B34="","",INDEX(Lines!$D$2:$D$500,B34)&amp;"")</f>
        <v/>
      </c>
      <c r="G34" s="2">
        <f>IF(B34="","",INDEX(Lines!$F$2:$F$500,B34)&amp;"")</f>
        <v/>
      </c>
      <c r="H34" s="2">
        <f>IF(B34="","",INDEX(Lines!$R$2:$R$500,B34))</f>
        <v/>
      </c>
      <c r="I34" s="2">
        <f>IF(B34="","",INDEX(Lines!$S$2:$S$500,B34)&amp;"")</f>
        <v/>
      </c>
      <c r="J34" s="2">
        <f>IF(B34="","",INDEX(Lines!$T$2:$T$500,B34)&amp;"")</f>
        <v/>
      </c>
      <c r="K34" s="2">
        <f>IF(B34="","",INDEX(Lines!$U$2:$U$500,B34)&amp;"")</f>
        <v/>
      </c>
      <c r="L34" s="2">
        <f>IF(B34="","",INDEX(Lines!$V$2:$V$500,B34)&amp;"")</f>
        <v/>
      </c>
      <c r="M34" s="9">
        <f>IF(C34="","",SUMIFS(Lines!$N$2:$N$500,Lines!$E$2:$E$500,C34,Lines!$A$2:$A$500,"total",Lines!$X$2:$X$500,"LABOUR_ALL"))</f>
        <v/>
      </c>
      <c r="N34" s="9">
        <f>IF(C34="","",SUMIFS(Lines!$N$2:$N$500,Lines!$E$2:$E$500,C34,Lines!$A$2:$A$500,"line",Lines!$X$2:$X$500,"LABOUR_ALL"))</f>
        <v/>
      </c>
      <c r="O34" s="2">
        <f>IF(C34="","",IF(M34=0,"no stated total",IF(ABS(M34-N34)&gt;Settings!$B$2,"MISMATCH","ok")))</f>
        <v/>
      </c>
      <c r="P34" s="9">
        <f>IF(C34="","",SUMIFS(Lines!$N$2:$N$500,Lines!$E$2:$E$500,C34,Lines!$A$2:$A$500,"total",Lines!$O$2:$O$500,"INSTALL"))</f>
        <v/>
      </c>
      <c r="Q34" s="9">
        <f>IF(C34="","",SUMIFS(Lines!$N$2:$N$500,Lines!$E$2:$E$500,C34,Lines!$A$2:$A$500,"line",Lines!$O$2:$O$500,"INSTALL"))</f>
        <v/>
      </c>
      <c r="R34" s="2">
        <f>IF(C34="","",IF(P34=0,"no stated total",IF(ABS(P34-Q34)&gt;Settings!$B$2,"MISMATCH","ok")))</f>
        <v/>
      </c>
      <c r="S34" s="9">
        <f>IF(C34="","",SUMIFS(Lines!$N$2:$N$500,Lines!$E$2:$E$500,C34,Lines!$A$2:$A$500,"total",Lines!$O$2:$O$500,"PRODUCT"))</f>
        <v/>
      </c>
      <c r="T34" s="9">
        <f>IF(C34="","",SUMIFS(Lines!$N$2:$N$500,Lines!$E$2:$E$500,C34,Lines!$A$2:$A$500,"line",Lines!$O$2:$O$500,"PRODUCT"))</f>
        <v/>
      </c>
      <c r="U34" s="2">
        <f>IF(C34="","",IF(S34=0,"no stated total",IF(ABS(S34-T34)&gt;Settings!$B$2,"MISMATCH","ok")))</f>
        <v/>
      </c>
      <c r="V34" s="9">
        <f>IF(C34="","",SUMIFS(Lines!$N$2:$N$500,Lines!$E$2:$E$500,C34,Lines!$A$2:$A$500,"total",Lines!$O$2:$O$500,"ALLOWANCE"))</f>
        <v/>
      </c>
      <c r="W34" s="9">
        <f>IF(C34="","",SUMIFS(Lines!$N$2:$N$500,Lines!$E$2:$E$500,C34,Lines!$A$2:$A$500,"line",Lines!$O$2:$O$500,"ALLOWANCE"))</f>
        <v/>
      </c>
      <c r="X34" s="2">
        <f>IF(C34="","",IF(V34=0,"no stated total",IF(ABS(V34-W34)&gt;Settings!$B$2,"MISMATCH","ok")))</f>
        <v/>
      </c>
      <c r="Y34" s="9">
        <f>IF(C34="","",SUMIFS(Lines!$N$2:$N$500,Lines!$E$2:$E$500,C34,Lines!$A$2:$A$500,"total",Lines!$O$2:$O$500,"GRAND"))</f>
        <v/>
      </c>
      <c r="Z34" s="9">
        <f>IF(C34="","",SUMIFS(Lines!$N$2:$N$500,Lines!$E$2:$E$500,C34,Lines!$A$2:$A$500,"line"))</f>
        <v/>
      </c>
      <c r="AA34" s="2">
        <f>IF(C34="","",IF(Y34=0,"no stated total",IF(ABS(Y34-Z34)&gt;Settings!$B$2,"MISMATCH","ok")))</f>
        <v/>
      </c>
      <c r="AB34" s="2">
        <f>IF(C34="","",COUNTIFS(Lines!$E$2:$E$500,C34,Lines!$A$2:$A$500,"coverage"))</f>
        <v/>
      </c>
      <c r="AC34" s="2">
        <f>IF(C34="","",IF(LEN(IF(O34="MISMATCH","lines do not sum to stated total (LABOUR_ALL); ","")&amp;IF(R34="MISMATCH","lines do not sum to stated total (INSTALL); ","")&amp;IF(U34="MISMATCH","lines do not sum to stated total (PRODUCT); ","")&amp;IF(X34="MISMATCH","lines do not sum to stated total (ALLOWANCE); ","")&amp;IF(AA34="MISMATCH","lines do not sum to grand total; ","")&amp;IF(OR(I34="1-"&amp;H34,AND(H34=1,I34="1")),"","pages not read; ")&amp;IF(K34="N","extracted without mapping table; ","")&amp;IF(AB34&gt;1,"document extracted twice; ",""))&gt;2,LEFT(IF(O34="MISMATCH","lines do not sum to stated total (LABOUR_ALL); ","")&amp;IF(R34="MISMATCH","lines do not sum to stated total (INSTALL); ","")&amp;IF(U34="MISMATCH","lines do not sum to stated total (PRODUCT); ","")&amp;IF(X34="MISMATCH","lines do not sum to stated total (ALLOWANCE); ","")&amp;IF(AA34="MISMATCH","lines do not sum to grand total; ","")&amp;IF(OR(I34="1-"&amp;H34,AND(H34=1,I34="1")),"","pages not read; ")&amp;IF(K34="N","extracted without mapping table; ","")&amp;IF(AB34&gt;1,"document extracted twice; ",""),LEN(IF(O34="MISMATCH","lines do not sum to stated total (LABOUR_ALL); ","")&amp;IF(R34="MISMATCH","lines do not sum to stated total (INSTALL); ","")&amp;IF(U34="MISMATCH","lines do not sum to stated total (PRODUCT); ","")&amp;IF(X34="MISMATCH","lines do not sum to stated total (ALLOWANCE); ","")&amp;IF(AA34="MISMATCH","lines do not sum to grand total; ","")&amp;IF(OR(I34="1-"&amp;H34,AND(H34=1,I34="1")),"","pages not read; ")&amp;IF(K34="N","extracted without mapping table; ","")&amp;IF(AB34&gt;1,"document extracted twice; ",""))-2),""))</f>
        <v/>
      </c>
      <c r="AD34" s="2">
        <f>IF(AC34&lt;&gt;"",MAX($AD$1:AD33)+1,"")</f>
        <v/>
      </c>
    </row>
    <row r="35">
      <c r="A35" s="2" t="n">
        <v>34</v>
      </c>
      <c r="B35" s="2">
        <f>IFERROR(MATCH(A35,Lines!$AF$2:$AF$500,0),"")</f>
        <v/>
      </c>
      <c r="C35" s="2">
        <f>IF(B35="","",INDEX(Lines!$E$2:$E$500,B35)&amp;"")</f>
        <v/>
      </c>
      <c r="D35" s="2">
        <f>IF(B35="","",INDEX(Lines!$B$2:$B$500,B35)&amp;"")</f>
        <v/>
      </c>
      <c r="E35" s="2">
        <f>IF(B35="","",INDEX(Lines!$C$2:$C$500,B35)&amp;"")</f>
        <v/>
      </c>
      <c r="F35" s="2">
        <f>IF(B35="","",INDEX(Lines!$D$2:$D$500,B35)&amp;"")</f>
        <v/>
      </c>
      <c r="G35" s="2">
        <f>IF(B35="","",INDEX(Lines!$F$2:$F$500,B35)&amp;"")</f>
        <v/>
      </c>
      <c r="H35" s="2">
        <f>IF(B35="","",INDEX(Lines!$R$2:$R$500,B35))</f>
        <v/>
      </c>
      <c r="I35" s="2">
        <f>IF(B35="","",INDEX(Lines!$S$2:$S$500,B35)&amp;"")</f>
        <v/>
      </c>
      <c r="J35" s="2">
        <f>IF(B35="","",INDEX(Lines!$T$2:$T$500,B35)&amp;"")</f>
        <v/>
      </c>
      <c r="K35" s="2">
        <f>IF(B35="","",INDEX(Lines!$U$2:$U$500,B35)&amp;"")</f>
        <v/>
      </c>
      <c r="L35" s="2">
        <f>IF(B35="","",INDEX(Lines!$V$2:$V$500,B35)&amp;"")</f>
        <v/>
      </c>
      <c r="M35" s="9">
        <f>IF(C35="","",SUMIFS(Lines!$N$2:$N$500,Lines!$E$2:$E$500,C35,Lines!$A$2:$A$500,"total",Lines!$X$2:$X$500,"LABOUR_ALL"))</f>
        <v/>
      </c>
      <c r="N35" s="9">
        <f>IF(C35="","",SUMIFS(Lines!$N$2:$N$500,Lines!$E$2:$E$500,C35,Lines!$A$2:$A$500,"line",Lines!$X$2:$X$500,"LABOUR_ALL"))</f>
        <v/>
      </c>
      <c r="O35" s="2">
        <f>IF(C35="","",IF(M35=0,"no stated total",IF(ABS(M35-N35)&gt;Settings!$B$2,"MISMATCH","ok")))</f>
        <v/>
      </c>
      <c r="P35" s="9">
        <f>IF(C35="","",SUMIFS(Lines!$N$2:$N$500,Lines!$E$2:$E$500,C35,Lines!$A$2:$A$500,"total",Lines!$O$2:$O$500,"INSTALL"))</f>
        <v/>
      </c>
      <c r="Q35" s="9">
        <f>IF(C35="","",SUMIFS(Lines!$N$2:$N$500,Lines!$E$2:$E$500,C35,Lines!$A$2:$A$500,"line",Lines!$O$2:$O$500,"INSTALL"))</f>
        <v/>
      </c>
      <c r="R35" s="2">
        <f>IF(C35="","",IF(P35=0,"no stated total",IF(ABS(P35-Q35)&gt;Settings!$B$2,"MISMATCH","ok")))</f>
        <v/>
      </c>
      <c r="S35" s="9">
        <f>IF(C35="","",SUMIFS(Lines!$N$2:$N$500,Lines!$E$2:$E$500,C35,Lines!$A$2:$A$500,"total",Lines!$O$2:$O$500,"PRODUCT"))</f>
        <v/>
      </c>
      <c r="T35" s="9">
        <f>IF(C35="","",SUMIFS(Lines!$N$2:$N$500,Lines!$E$2:$E$500,C35,Lines!$A$2:$A$500,"line",Lines!$O$2:$O$500,"PRODUCT"))</f>
        <v/>
      </c>
      <c r="U35" s="2">
        <f>IF(C35="","",IF(S35=0,"no stated total",IF(ABS(S35-T35)&gt;Settings!$B$2,"MISMATCH","ok")))</f>
        <v/>
      </c>
      <c r="V35" s="9">
        <f>IF(C35="","",SUMIFS(Lines!$N$2:$N$500,Lines!$E$2:$E$500,C35,Lines!$A$2:$A$500,"total",Lines!$O$2:$O$500,"ALLOWANCE"))</f>
        <v/>
      </c>
      <c r="W35" s="9">
        <f>IF(C35="","",SUMIFS(Lines!$N$2:$N$500,Lines!$E$2:$E$500,C35,Lines!$A$2:$A$500,"line",Lines!$O$2:$O$500,"ALLOWANCE"))</f>
        <v/>
      </c>
      <c r="X35" s="2">
        <f>IF(C35="","",IF(V35=0,"no stated total",IF(ABS(V35-W35)&gt;Settings!$B$2,"MISMATCH","ok")))</f>
        <v/>
      </c>
      <c r="Y35" s="9">
        <f>IF(C35="","",SUMIFS(Lines!$N$2:$N$500,Lines!$E$2:$E$500,C35,Lines!$A$2:$A$500,"total",Lines!$O$2:$O$500,"GRAND"))</f>
        <v/>
      </c>
      <c r="Z35" s="9">
        <f>IF(C35="","",SUMIFS(Lines!$N$2:$N$500,Lines!$E$2:$E$500,C35,Lines!$A$2:$A$500,"line"))</f>
        <v/>
      </c>
      <c r="AA35" s="2">
        <f>IF(C35="","",IF(Y35=0,"no stated total",IF(ABS(Y35-Z35)&gt;Settings!$B$2,"MISMATCH","ok")))</f>
        <v/>
      </c>
      <c r="AB35" s="2">
        <f>IF(C35="","",COUNTIFS(Lines!$E$2:$E$500,C35,Lines!$A$2:$A$500,"coverage"))</f>
        <v/>
      </c>
      <c r="AC35" s="2">
        <f>IF(C35="","",IF(LEN(IF(O35="MISMATCH","lines do not sum to stated total (LABOUR_ALL); ","")&amp;IF(R35="MISMATCH","lines do not sum to stated total (INSTALL); ","")&amp;IF(U35="MISMATCH","lines do not sum to stated total (PRODUCT); ","")&amp;IF(X35="MISMATCH","lines do not sum to stated total (ALLOWANCE); ","")&amp;IF(AA35="MISMATCH","lines do not sum to grand total; ","")&amp;IF(OR(I35="1-"&amp;H35,AND(H35=1,I35="1")),"","pages not read; ")&amp;IF(K35="N","extracted without mapping table; ","")&amp;IF(AB35&gt;1,"document extracted twice; ",""))&gt;2,LEFT(IF(O35="MISMATCH","lines do not sum to stated total (LABOUR_ALL); ","")&amp;IF(R35="MISMATCH","lines do not sum to stated total (INSTALL); ","")&amp;IF(U35="MISMATCH","lines do not sum to stated total (PRODUCT); ","")&amp;IF(X35="MISMATCH","lines do not sum to stated total (ALLOWANCE); ","")&amp;IF(AA35="MISMATCH","lines do not sum to grand total; ","")&amp;IF(OR(I35="1-"&amp;H35,AND(H35=1,I35="1")),"","pages not read; ")&amp;IF(K35="N","extracted without mapping table; ","")&amp;IF(AB35&gt;1,"document extracted twice; ",""),LEN(IF(O35="MISMATCH","lines do not sum to stated total (LABOUR_ALL); ","")&amp;IF(R35="MISMATCH","lines do not sum to stated total (INSTALL); ","")&amp;IF(U35="MISMATCH","lines do not sum to stated total (PRODUCT); ","")&amp;IF(X35="MISMATCH","lines do not sum to stated total (ALLOWANCE); ","")&amp;IF(AA35="MISMATCH","lines do not sum to grand total; ","")&amp;IF(OR(I35="1-"&amp;H35,AND(H35=1,I35="1")),"","pages not read; ")&amp;IF(K35="N","extracted without mapping table; ","")&amp;IF(AB35&gt;1,"document extracted twice; ",""))-2),""))</f>
        <v/>
      </c>
      <c r="AD35" s="2">
        <f>IF(AC35&lt;&gt;"",MAX($AD$1:AD34)+1,"")</f>
        <v/>
      </c>
    </row>
    <row r="36">
      <c r="A36" s="2" t="n">
        <v>35</v>
      </c>
      <c r="B36" s="2">
        <f>IFERROR(MATCH(A36,Lines!$AF$2:$AF$500,0),"")</f>
        <v/>
      </c>
      <c r="C36" s="2">
        <f>IF(B36="","",INDEX(Lines!$E$2:$E$500,B36)&amp;"")</f>
        <v/>
      </c>
      <c r="D36" s="2">
        <f>IF(B36="","",INDEX(Lines!$B$2:$B$500,B36)&amp;"")</f>
        <v/>
      </c>
      <c r="E36" s="2">
        <f>IF(B36="","",INDEX(Lines!$C$2:$C$500,B36)&amp;"")</f>
        <v/>
      </c>
      <c r="F36" s="2">
        <f>IF(B36="","",INDEX(Lines!$D$2:$D$500,B36)&amp;"")</f>
        <v/>
      </c>
      <c r="G36" s="2">
        <f>IF(B36="","",INDEX(Lines!$F$2:$F$500,B36)&amp;"")</f>
        <v/>
      </c>
      <c r="H36" s="2">
        <f>IF(B36="","",INDEX(Lines!$R$2:$R$500,B36))</f>
        <v/>
      </c>
      <c r="I36" s="2">
        <f>IF(B36="","",INDEX(Lines!$S$2:$S$500,B36)&amp;"")</f>
        <v/>
      </c>
      <c r="J36" s="2">
        <f>IF(B36="","",INDEX(Lines!$T$2:$T$500,B36)&amp;"")</f>
        <v/>
      </c>
      <c r="K36" s="2">
        <f>IF(B36="","",INDEX(Lines!$U$2:$U$500,B36)&amp;"")</f>
        <v/>
      </c>
      <c r="L36" s="2">
        <f>IF(B36="","",INDEX(Lines!$V$2:$V$500,B36)&amp;"")</f>
        <v/>
      </c>
      <c r="M36" s="9">
        <f>IF(C36="","",SUMIFS(Lines!$N$2:$N$500,Lines!$E$2:$E$500,C36,Lines!$A$2:$A$500,"total",Lines!$X$2:$X$500,"LABOUR_ALL"))</f>
        <v/>
      </c>
      <c r="N36" s="9">
        <f>IF(C36="","",SUMIFS(Lines!$N$2:$N$500,Lines!$E$2:$E$500,C36,Lines!$A$2:$A$500,"line",Lines!$X$2:$X$500,"LABOUR_ALL"))</f>
        <v/>
      </c>
      <c r="O36" s="2">
        <f>IF(C36="","",IF(M36=0,"no stated total",IF(ABS(M36-N36)&gt;Settings!$B$2,"MISMATCH","ok")))</f>
        <v/>
      </c>
      <c r="P36" s="9">
        <f>IF(C36="","",SUMIFS(Lines!$N$2:$N$500,Lines!$E$2:$E$500,C36,Lines!$A$2:$A$500,"total",Lines!$O$2:$O$500,"INSTALL"))</f>
        <v/>
      </c>
      <c r="Q36" s="9">
        <f>IF(C36="","",SUMIFS(Lines!$N$2:$N$500,Lines!$E$2:$E$500,C36,Lines!$A$2:$A$500,"line",Lines!$O$2:$O$500,"INSTALL"))</f>
        <v/>
      </c>
      <c r="R36" s="2">
        <f>IF(C36="","",IF(P36=0,"no stated total",IF(ABS(P36-Q36)&gt;Settings!$B$2,"MISMATCH","ok")))</f>
        <v/>
      </c>
      <c r="S36" s="9">
        <f>IF(C36="","",SUMIFS(Lines!$N$2:$N$500,Lines!$E$2:$E$500,C36,Lines!$A$2:$A$500,"total",Lines!$O$2:$O$500,"PRODUCT"))</f>
        <v/>
      </c>
      <c r="T36" s="9">
        <f>IF(C36="","",SUMIFS(Lines!$N$2:$N$500,Lines!$E$2:$E$500,C36,Lines!$A$2:$A$500,"line",Lines!$O$2:$O$500,"PRODUCT"))</f>
        <v/>
      </c>
      <c r="U36" s="2">
        <f>IF(C36="","",IF(S36=0,"no stated total",IF(ABS(S36-T36)&gt;Settings!$B$2,"MISMATCH","ok")))</f>
        <v/>
      </c>
      <c r="V36" s="9">
        <f>IF(C36="","",SUMIFS(Lines!$N$2:$N$500,Lines!$E$2:$E$500,C36,Lines!$A$2:$A$500,"total",Lines!$O$2:$O$500,"ALLOWANCE"))</f>
        <v/>
      </c>
      <c r="W36" s="9">
        <f>IF(C36="","",SUMIFS(Lines!$N$2:$N$500,Lines!$E$2:$E$500,C36,Lines!$A$2:$A$500,"line",Lines!$O$2:$O$500,"ALLOWANCE"))</f>
        <v/>
      </c>
      <c r="X36" s="2">
        <f>IF(C36="","",IF(V36=0,"no stated total",IF(ABS(V36-W36)&gt;Settings!$B$2,"MISMATCH","ok")))</f>
        <v/>
      </c>
      <c r="Y36" s="9">
        <f>IF(C36="","",SUMIFS(Lines!$N$2:$N$500,Lines!$E$2:$E$500,C36,Lines!$A$2:$A$500,"total",Lines!$O$2:$O$500,"GRAND"))</f>
        <v/>
      </c>
      <c r="Z36" s="9">
        <f>IF(C36="","",SUMIFS(Lines!$N$2:$N$500,Lines!$E$2:$E$500,C36,Lines!$A$2:$A$500,"line"))</f>
        <v/>
      </c>
      <c r="AA36" s="2">
        <f>IF(C36="","",IF(Y36=0,"no stated total",IF(ABS(Y36-Z36)&gt;Settings!$B$2,"MISMATCH","ok")))</f>
        <v/>
      </c>
      <c r="AB36" s="2">
        <f>IF(C36="","",COUNTIFS(Lines!$E$2:$E$500,C36,Lines!$A$2:$A$500,"coverage"))</f>
        <v/>
      </c>
      <c r="AC36" s="2">
        <f>IF(C36="","",IF(LEN(IF(O36="MISMATCH","lines do not sum to stated total (LABOUR_ALL); ","")&amp;IF(R36="MISMATCH","lines do not sum to stated total (INSTALL); ","")&amp;IF(U36="MISMATCH","lines do not sum to stated total (PRODUCT); ","")&amp;IF(X36="MISMATCH","lines do not sum to stated total (ALLOWANCE); ","")&amp;IF(AA36="MISMATCH","lines do not sum to grand total; ","")&amp;IF(OR(I36="1-"&amp;H36,AND(H36=1,I36="1")),"","pages not read; ")&amp;IF(K36="N","extracted without mapping table; ","")&amp;IF(AB36&gt;1,"document extracted twice; ",""))&gt;2,LEFT(IF(O36="MISMATCH","lines do not sum to stated total (LABOUR_ALL); ","")&amp;IF(R36="MISMATCH","lines do not sum to stated total (INSTALL); ","")&amp;IF(U36="MISMATCH","lines do not sum to stated total (PRODUCT); ","")&amp;IF(X36="MISMATCH","lines do not sum to stated total (ALLOWANCE); ","")&amp;IF(AA36="MISMATCH","lines do not sum to grand total; ","")&amp;IF(OR(I36="1-"&amp;H36,AND(H36=1,I36="1")),"","pages not read; ")&amp;IF(K36="N","extracted without mapping table; ","")&amp;IF(AB36&gt;1,"document extracted twice; ",""),LEN(IF(O36="MISMATCH","lines do not sum to stated total (LABOUR_ALL); ","")&amp;IF(R36="MISMATCH","lines do not sum to stated total (INSTALL); ","")&amp;IF(U36="MISMATCH","lines do not sum to stated total (PRODUCT); ","")&amp;IF(X36="MISMATCH","lines do not sum to stated total (ALLOWANCE); ","")&amp;IF(AA36="MISMATCH","lines do not sum to grand total; ","")&amp;IF(OR(I36="1-"&amp;H36,AND(H36=1,I36="1")),"","pages not read; ")&amp;IF(K36="N","extracted without mapping table; ","")&amp;IF(AB36&gt;1,"document extracted twice; ",""))-2),""))</f>
        <v/>
      </c>
      <c r="AD36" s="2">
        <f>IF(AC36&lt;&gt;"",MAX($AD$1:AD35)+1,"")</f>
        <v/>
      </c>
    </row>
    <row r="37">
      <c r="A37" s="2" t="n">
        <v>36</v>
      </c>
      <c r="B37" s="2">
        <f>IFERROR(MATCH(A37,Lines!$AF$2:$AF$500,0),"")</f>
        <v/>
      </c>
      <c r="C37" s="2">
        <f>IF(B37="","",INDEX(Lines!$E$2:$E$500,B37)&amp;"")</f>
        <v/>
      </c>
      <c r="D37" s="2">
        <f>IF(B37="","",INDEX(Lines!$B$2:$B$500,B37)&amp;"")</f>
        <v/>
      </c>
      <c r="E37" s="2">
        <f>IF(B37="","",INDEX(Lines!$C$2:$C$500,B37)&amp;"")</f>
        <v/>
      </c>
      <c r="F37" s="2">
        <f>IF(B37="","",INDEX(Lines!$D$2:$D$500,B37)&amp;"")</f>
        <v/>
      </c>
      <c r="G37" s="2">
        <f>IF(B37="","",INDEX(Lines!$F$2:$F$500,B37)&amp;"")</f>
        <v/>
      </c>
      <c r="H37" s="2">
        <f>IF(B37="","",INDEX(Lines!$R$2:$R$500,B37))</f>
        <v/>
      </c>
      <c r="I37" s="2">
        <f>IF(B37="","",INDEX(Lines!$S$2:$S$500,B37)&amp;"")</f>
        <v/>
      </c>
      <c r="J37" s="2">
        <f>IF(B37="","",INDEX(Lines!$T$2:$T$500,B37)&amp;"")</f>
        <v/>
      </c>
      <c r="K37" s="2">
        <f>IF(B37="","",INDEX(Lines!$U$2:$U$500,B37)&amp;"")</f>
        <v/>
      </c>
      <c r="L37" s="2">
        <f>IF(B37="","",INDEX(Lines!$V$2:$V$500,B37)&amp;"")</f>
        <v/>
      </c>
      <c r="M37" s="9">
        <f>IF(C37="","",SUMIFS(Lines!$N$2:$N$500,Lines!$E$2:$E$500,C37,Lines!$A$2:$A$500,"total",Lines!$X$2:$X$500,"LABOUR_ALL"))</f>
        <v/>
      </c>
      <c r="N37" s="9">
        <f>IF(C37="","",SUMIFS(Lines!$N$2:$N$500,Lines!$E$2:$E$500,C37,Lines!$A$2:$A$500,"line",Lines!$X$2:$X$500,"LABOUR_ALL"))</f>
        <v/>
      </c>
      <c r="O37" s="2">
        <f>IF(C37="","",IF(M37=0,"no stated total",IF(ABS(M37-N37)&gt;Settings!$B$2,"MISMATCH","ok")))</f>
        <v/>
      </c>
      <c r="P37" s="9">
        <f>IF(C37="","",SUMIFS(Lines!$N$2:$N$500,Lines!$E$2:$E$500,C37,Lines!$A$2:$A$500,"total",Lines!$O$2:$O$500,"INSTALL"))</f>
        <v/>
      </c>
      <c r="Q37" s="9">
        <f>IF(C37="","",SUMIFS(Lines!$N$2:$N$500,Lines!$E$2:$E$500,C37,Lines!$A$2:$A$500,"line",Lines!$O$2:$O$500,"INSTALL"))</f>
        <v/>
      </c>
      <c r="R37" s="2">
        <f>IF(C37="","",IF(P37=0,"no stated total",IF(ABS(P37-Q37)&gt;Settings!$B$2,"MISMATCH","ok")))</f>
        <v/>
      </c>
      <c r="S37" s="9">
        <f>IF(C37="","",SUMIFS(Lines!$N$2:$N$500,Lines!$E$2:$E$500,C37,Lines!$A$2:$A$500,"total",Lines!$O$2:$O$500,"PRODUCT"))</f>
        <v/>
      </c>
      <c r="T37" s="9">
        <f>IF(C37="","",SUMIFS(Lines!$N$2:$N$500,Lines!$E$2:$E$500,C37,Lines!$A$2:$A$500,"line",Lines!$O$2:$O$500,"PRODUCT"))</f>
        <v/>
      </c>
      <c r="U37" s="2">
        <f>IF(C37="","",IF(S37=0,"no stated total",IF(ABS(S37-T37)&gt;Settings!$B$2,"MISMATCH","ok")))</f>
        <v/>
      </c>
      <c r="V37" s="9">
        <f>IF(C37="","",SUMIFS(Lines!$N$2:$N$500,Lines!$E$2:$E$500,C37,Lines!$A$2:$A$500,"total",Lines!$O$2:$O$500,"ALLOWANCE"))</f>
        <v/>
      </c>
      <c r="W37" s="9">
        <f>IF(C37="","",SUMIFS(Lines!$N$2:$N$500,Lines!$E$2:$E$500,C37,Lines!$A$2:$A$500,"line",Lines!$O$2:$O$500,"ALLOWANCE"))</f>
        <v/>
      </c>
      <c r="X37" s="2">
        <f>IF(C37="","",IF(V37=0,"no stated total",IF(ABS(V37-W37)&gt;Settings!$B$2,"MISMATCH","ok")))</f>
        <v/>
      </c>
      <c r="Y37" s="9">
        <f>IF(C37="","",SUMIFS(Lines!$N$2:$N$500,Lines!$E$2:$E$500,C37,Lines!$A$2:$A$500,"total",Lines!$O$2:$O$500,"GRAND"))</f>
        <v/>
      </c>
      <c r="Z37" s="9">
        <f>IF(C37="","",SUMIFS(Lines!$N$2:$N$500,Lines!$E$2:$E$500,C37,Lines!$A$2:$A$500,"line"))</f>
        <v/>
      </c>
      <c r="AA37" s="2">
        <f>IF(C37="","",IF(Y37=0,"no stated total",IF(ABS(Y37-Z37)&gt;Settings!$B$2,"MISMATCH","ok")))</f>
        <v/>
      </c>
      <c r="AB37" s="2">
        <f>IF(C37="","",COUNTIFS(Lines!$E$2:$E$500,C37,Lines!$A$2:$A$500,"coverage"))</f>
        <v/>
      </c>
      <c r="AC37" s="2">
        <f>IF(C37="","",IF(LEN(IF(O37="MISMATCH","lines do not sum to stated total (LABOUR_ALL); ","")&amp;IF(R37="MISMATCH","lines do not sum to stated total (INSTALL); ","")&amp;IF(U37="MISMATCH","lines do not sum to stated total (PRODUCT); ","")&amp;IF(X37="MISMATCH","lines do not sum to stated total (ALLOWANCE); ","")&amp;IF(AA37="MISMATCH","lines do not sum to grand total; ","")&amp;IF(OR(I37="1-"&amp;H37,AND(H37=1,I37="1")),"","pages not read; ")&amp;IF(K37="N","extracted without mapping table; ","")&amp;IF(AB37&gt;1,"document extracted twice; ",""))&gt;2,LEFT(IF(O37="MISMATCH","lines do not sum to stated total (LABOUR_ALL); ","")&amp;IF(R37="MISMATCH","lines do not sum to stated total (INSTALL); ","")&amp;IF(U37="MISMATCH","lines do not sum to stated total (PRODUCT); ","")&amp;IF(X37="MISMATCH","lines do not sum to stated total (ALLOWANCE); ","")&amp;IF(AA37="MISMATCH","lines do not sum to grand total; ","")&amp;IF(OR(I37="1-"&amp;H37,AND(H37=1,I37="1")),"","pages not read; ")&amp;IF(K37="N","extracted without mapping table; ","")&amp;IF(AB37&gt;1,"document extracted twice; ",""),LEN(IF(O37="MISMATCH","lines do not sum to stated total (LABOUR_ALL); ","")&amp;IF(R37="MISMATCH","lines do not sum to stated total (INSTALL); ","")&amp;IF(U37="MISMATCH","lines do not sum to stated total (PRODUCT); ","")&amp;IF(X37="MISMATCH","lines do not sum to stated total (ALLOWANCE); ","")&amp;IF(AA37="MISMATCH","lines do not sum to grand total; ","")&amp;IF(OR(I37="1-"&amp;H37,AND(H37=1,I37="1")),"","pages not read; ")&amp;IF(K37="N","extracted without mapping table; ","")&amp;IF(AB37&gt;1,"document extracted twice; ",""))-2),""))</f>
        <v/>
      </c>
      <c r="AD37" s="2">
        <f>IF(AC37&lt;&gt;"",MAX($AD$1:AD36)+1,"")</f>
        <v/>
      </c>
    </row>
    <row r="38">
      <c r="A38" s="2" t="n">
        <v>37</v>
      </c>
      <c r="B38" s="2">
        <f>IFERROR(MATCH(A38,Lines!$AF$2:$AF$500,0),"")</f>
        <v/>
      </c>
      <c r="C38" s="2">
        <f>IF(B38="","",INDEX(Lines!$E$2:$E$500,B38)&amp;"")</f>
        <v/>
      </c>
      <c r="D38" s="2">
        <f>IF(B38="","",INDEX(Lines!$B$2:$B$500,B38)&amp;"")</f>
        <v/>
      </c>
      <c r="E38" s="2">
        <f>IF(B38="","",INDEX(Lines!$C$2:$C$500,B38)&amp;"")</f>
        <v/>
      </c>
      <c r="F38" s="2">
        <f>IF(B38="","",INDEX(Lines!$D$2:$D$500,B38)&amp;"")</f>
        <v/>
      </c>
      <c r="G38" s="2">
        <f>IF(B38="","",INDEX(Lines!$F$2:$F$500,B38)&amp;"")</f>
        <v/>
      </c>
      <c r="H38" s="2">
        <f>IF(B38="","",INDEX(Lines!$R$2:$R$500,B38))</f>
        <v/>
      </c>
      <c r="I38" s="2">
        <f>IF(B38="","",INDEX(Lines!$S$2:$S$500,B38)&amp;"")</f>
        <v/>
      </c>
      <c r="J38" s="2">
        <f>IF(B38="","",INDEX(Lines!$T$2:$T$500,B38)&amp;"")</f>
        <v/>
      </c>
      <c r="K38" s="2">
        <f>IF(B38="","",INDEX(Lines!$U$2:$U$500,B38)&amp;"")</f>
        <v/>
      </c>
      <c r="L38" s="2">
        <f>IF(B38="","",INDEX(Lines!$V$2:$V$500,B38)&amp;"")</f>
        <v/>
      </c>
      <c r="M38" s="9">
        <f>IF(C38="","",SUMIFS(Lines!$N$2:$N$500,Lines!$E$2:$E$500,C38,Lines!$A$2:$A$500,"total",Lines!$X$2:$X$500,"LABOUR_ALL"))</f>
        <v/>
      </c>
      <c r="N38" s="9">
        <f>IF(C38="","",SUMIFS(Lines!$N$2:$N$500,Lines!$E$2:$E$500,C38,Lines!$A$2:$A$500,"line",Lines!$X$2:$X$500,"LABOUR_ALL"))</f>
        <v/>
      </c>
      <c r="O38" s="2">
        <f>IF(C38="","",IF(M38=0,"no stated total",IF(ABS(M38-N38)&gt;Settings!$B$2,"MISMATCH","ok")))</f>
        <v/>
      </c>
      <c r="P38" s="9">
        <f>IF(C38="","",SUMIFS(Lines!$N$2:$N$500,Lines!$E$2:$E$500,C38,Lines!$A$2:$A$500,"total",Lines!$O$2:$O$500,"INSTALL"))</f>
        <v/>
      </c>
      <c r="Q38" s="9">
        <f>IF(C38="","",SUMIFS(Lines!$N$2:$N$500,Lines!$E$2:$E$500,C38,Lines!$A$2:$A$500,"line",Lines!$O$2:$O$500,"INSTALL"))</f>
        <v/>
      </c>
      <c r="R38" s="2">
        <f>IF(C38="","",IF(P38=0,"no stated total",IF(ABS(P38-Q38)&gt;Settings!$B$2,"MISMATCH","ok")))</f>
        <v/>
      </c>
      <c r="S38" s="9">
        <f>IF(C38="","",SUMIFS(Lines!$N$2:$N$500,Lines!$E$2:$E$500,C38,Lines!$A$2:$A$500,"total",Lines!$O$2:$O$500,"PRODUCT"))</f>
        <v/>
      </c>
      <c r="T38" s="9">
        <f>IF(C38="","",SUMIFS(Lines!$N$2:$N$500,Lines!$E$2:$E$500,C38,Lines!$A$2:$A$500,"line",Lines!$O$2:$O$500,"PRODUCT"))</f>
        <v/>
      </c>
      <c r="U38" s="2">
        <f>IF(C38="","",IF(S38=0,"no stated total",IF(ABS(S38-T38)&gt;Settings!$B$2,"MISMATCH","ok")))</f>
        <v/>
      </c>
      <c r="V38" s="9">
        <f>IF(C38="","",SUMIFS(Lines!$N$2:$N$500,Lines!$E$2:$E$500,C38,Lines!$A$2:$A$500,"total",Lines!$O$2:$O$500,"ALLOWANCE"))</f>
        <v/>
      </c>
      <c r="W38" s="9">
        <f>IF(C38="","",SUMIFS(Lines!$N$2:$N$500,Lines!$E$2:$E$500,C38,Lines!$A$2:$A$500,"line",Lines!$O$2:$O$500,"ALLOWANCE"))</f>
        <v/>
      </c>
      <c r="X38" s="2">
        <f>IF(C38="","",IF(V38=0,"no stated total",IF(ABS(V38-W38)&gt;Settings!$B$2,"MISMATCH","ok")))</f>
        <v/>
      </c>
      <c r="Y38" s="9">
        <f>IF(C38="","",SUMIFS(Lines!$N$2:$N$500,Lines!$E$2:$E$500,C38,Lines!$A$2:$A$500,"total",Lines!$O$2:$O$500,"GRAND"))</f>
        <v/>
      </c>
      <c r="Z38" s="9">
        <f>IF(C38="","",SUMIFS(Lines!$N$2:$N$500,Lines!$E$2:$E$500,C38,Lines!$A$2:$A$500,"line"))</f>
        <v/>
      </c>
      <c r="AA38" s="2">
        <f>IF(C38="","",IF(Y38=0,"no stated total",IF(ABS(Y38-Z38)&gt;Settings!$B$2,"MISMATCH","ok")))</f>
        <v/>
      </c>
      <c r="AB38" s="2">
        <f>IF(C38="","",COUNTIFS(Lines!$E$2:$E$500,C38,Lines!$A$2:$A$500,"coverage"))</f>
        <v/>
      </c>
      <c r="AC38" s="2">
        <f>IF(C38="","",IF(LEN(IF(O38="MISMATCH","lines do not sum to stated total (LABOUR_ALL); ","")&amp;IF(R38="MISMATCH","lines do not sum to stated total (INSTALL); ","")&amp;IF(U38="MISMATCH","lines do not sum to stated total (PRODUCT); ","")&amp;IF(X38="MISMATCH","lines do not sum to stated total (ALLOWANCE); ","")&amp;IF(AA38="MISMATCH","lines do not sum to grand total; ","")&amp;IF(OR(I38="1-"&amp;H38,AND(H38=1,I38="1")),"","pages not read; ")&amp;IF(K38="N","extracted without mapping table; ","")&amp;IF(AB38&gt;1,"document extracted twice; ",""))&gt;2,LEFT(IF(O38="MISMATCH","lines do not sum to stated total (LABOUR_ALL); ","")&amp;IF(R38="MISMATCH","lines do not sum to stated total (INSTALL); ","")&amp;IF(U38="MISMATCH","lines do not sum to stated total (PRODUCT); ","")&amp;IF(X38="MISMATCH","lines do not sum to stated total (ALLOWANCE); ","")&amp;IF(AA38="MISMATCH","lines do not sum to grand total; ","")&amp;IF(OR(I38="1-"&amp;H38,AND(H38=1,I38="1")),"","pages not read; ")&amp;IF(K38="N","extracted without mapping table; ","")&amp;IF(AB38&gt;1,"document extracted twice; ",""),LEN(IF(O38="MISMATCH","lines do not sum to stated total (LABOUR_ALL); ","")&amp;IF(R38="MISMATCH","lines do not sum to stated total (INSTALL); ","")&amp;IF(U38="MISMATCH","lines do not sum to stated total (PRODUCT); ","")&amp;IF(X38="MISMATCH","lines do not sum to stated total (ALLOWANCE); ","")&amp;IF(AA38="MISMATCH","lines do not sum to grand total; ","")&amp;IF(OR(I38="1-"&amp;H38,AND(H38=1,I38="1")),"","pages not read; ")&amp;IF(K38="N","extracted without mapping table; ","")&amp;IF(AB38&gt;1,"document extracted twice; ",""))-2),""))</f>
        <v/>
      </c>
      <c r="AD38" s="2">
        <f>IF(AC38&lt;&gt;"",MAX($AD$1:AD37)+1,"")</f>
        <v/>
      </c>
    </row>
    <row r="39">
      <c r="A39" s="2" t="n">
        <v>38</v>
      </c>
      <c r="B39" s="2">
        <f>IFERROR(MATCH(A39,Lines!$AF$2:$AF$500,0),"")</f>
        <v/>
      </c>
      <c r="C39" s="2">
        <f>IF(B39="","",INDEX(Lines!$E$2:$E$500,B39)&amp;"")</f>
        <v/>
      </c>
      <c r="D39" s="2">
        <f>IF(B39="","",INDEX(Lines!$B$2:$B$500,B39)&amp;"")</f>
        <v/>
      </c>
      <c r="E39" s="2">
        <f>IF(B39="","",INDEX(Lines!$C$2:$C$500,B39)&amp;"")</f>
        <v/>
      </c>
      <c r="F39" s="2">
        <f>IF(B39="","",INDEX(Lines!$D$2:$D$500,B39)&amp;"")</f>
        <v/>
      </c>
      <c r="G39" s="2">
        <f>IF(B39="","",INDEX(Lines!$F$2:$F$500,B39)&amp;"")</f>
        <v/>
      </c>
      <c r="H39" s="2">
        <f>IF(B39="","",INDEX(Lines!$R$2:$R$500,B39))</f>
        <v/>
      </c>
      <c r="I39" s="2">
        <f>IF(B39="","",INDEX(Lines!$S$2:$S$500,B39)&amp;"")</f>
        <v/>
      </c>
      <c r="J39" s="2">
        <f>IF(B39="","",INDEX(Lines!$T$2:$T$500,B39)&amp;"")</f>
        <v/>
      </c>
      <c r="K39" s="2">
        <f>IF(B39="","",INDEX(Lines!$U$2:$U$500,B39)&amp;"")</f>
        <v/>
      </c>
      <c r="L39" s="2">
        <f>IF(B39="","",INDEX(Lines!$V$2:$V$500,B39)&amp;"")</f>
        <v/>
      </c>
      <c r="M39" s="9">
        <f>IF(C39="","",SUMIFS(Lines!$N$2:$N$500,Lines!$E$2:$E$500,C39,Lines!$A$2:$A$500,"total",Lines!$X$2:$X$500,"LABOUR_ALL"))</f>
        <v/>
      </c>
      <c r="N39" s="9">
        <f>IF(C39="","",SUMIFS(Lines!$N$2:$N$500,Lines!$E$2:$E$500,C39,Lines!$A$2:$A$500,"line",Lines!$X$2:$X$500,"LABOUR_ALL"))</f>
        <v/>
      </c>
      <c r="O39" s="2">
        <f>IF(C39="","",IF(M39=0,"no stated total",IF(ABS(M39-N39)&gt;Settings!$B$2,"MISMATCH","ok")))</f>
        <v/>
      </c>
      <c r="P39" s="9">
        <f>IF(C39="","",SUMIFS(Lines!$N$2:$N$500,Lines!$E$2:$E$500,C39,Lines!$A$2:$A$500,"total",Lines!$O$2:$O$500,"INSTALL"))</f>
        <v/>
      </c>
      <c r="Q39" s="9">
        <f>IF(C39="","",SUMIFS(Lines!$N$2:$N$500,Lines!$E$2:$E$500,C39,Lines!$A$2:$A$500,"line",Lines!$O$2:$O$500,"INSTALL"))</f>
        <v/>
      </c>
      <c r="R39" s="2">
        <f>IF(C39="","",IF(P39=0,"no stated total",IF(ABS(P39-Q39)&gt;Settings!$B$2,"MISMATCH","ok")))</f>
        <v/>
      </c>
      <c r="S39" s="9">
        <f>IF(C39="","",SUMIFS(Lines!$N$2:$N$500,Lines!$E$2:$E$500,C39,Lines!$A$2:$A$500,"total",Lines!$O$2:$O$500,"PRODUCT"))</f>
        <v/>
      </c>
      <c r="T39" s="9">
        <f>IF(C39="","",SUMIFS(Lines!$N$2:$N$500,Lines!$E$2:$E$500,C39,Lines!$A$2:$A$500,"line",Lines!$O$2:$O$500,"PRODUCT"))</f>
        <v/>
      </c>
      <c r="U39" s="2">
        <f>IF(C39="","",IF(S39=0,"no stated total",IF(ABS(S39-T39)&gt;Settings!$B$2,"MISMATCH","ok")))</f>
        <v/>
      </c>
      <c r="V39" s="9">
        <f>IF(C39="","",SUMIFS(Lines!$N$2:$N$500,Lines!$E$2:$E$500,C39,Lines!$A$2:$A$500,"total",Lines!$O$2:$O$500,"ALLOWANCE"))</f>
        <v/>
      </c>
      <c r="W39" s="9">
        <f>IF(C39="","",SUMIFS(Lines!$N$2:$N$500,Lines!$E$2:$E$500,C39,Lines!$A$2:$A$500,"line",Lines!$O$2:$O$500,"ALLOWANCE"))</f>
        <v/>
      </c>
      <c r="X39" s="2">
        <f>IF(C39="","",IF(V39=0,"no stated total",IF(ABS(V39-W39)&gt;Settings!$B$2,"MISMATCH","ok")))</f>
        <v/>
      </c>
      <c r="Y39" s="9">
        <f>IF(C39="","",SUMIFS(Lines!$N$2:$N$500,Lines!$E$2:$E$500,C39,Lines!$A$2:$A$500,"total",Lines!$O$2:$O$500,"GRAND"))</f>
        <v/>
      </c>
      <c r="Z39" s="9">
        <f>IF(C39="","",SUMIFS(Lines!$N$2:$N$500,Lines!$E$2:$E$500,C39,Lines!$A$2:$A$500,"line"))</f>
        <v/>
      </c>
      <c r="AA39" s="2">
        <f>IF(C39="","",IF(Y39=0,"no stated total",IF(ABS(Y39-Z39)&gt;Settings!$B$2,"MISMATCH","ok")))</f>
        <v/>
      </c>
      <c r="AB39" s="2">
        <f>IF(C39="","",COUNTIFS(Lines!$E$2:$E$500,C39,Lines!$A$2:$A$500,"coverage"))</f>
        <v/>
      </c>
      <c r="AC39" s="2">
        <f>IF(C39="","",IF(LEN(IF(O39="MISMATCH","lines do not sum to stated total (LABOUR_ALL); ","")&amp;IF(R39="MISMATCH","lines do not sum to stated total (INSTALL); ","")&amp;IF(U39="MISMATCH","lines do not sum to stated total (PRODUCT); ","")&amp;IF(X39="MISMATCH","lines do not sum to stated total (ALLOWANCE); ","")&amp;IF(AA39="MISMATCH","lines do not sum to grand total; ","")&amp;IF(OR(I39="1-"&amp;H39,AND(H39=1,I39="1")),"","pages not read; ")&amp;IF(K39="N","extracted without mapping table; ","")&amp;IF(AB39&gt;1,"document extracted twice; ",""))&gt;2,LEFT(IF(O39="MISMATCH","lines do not sum to stated total (LABOUR_ALL); ","")&amp;IF(R39="MISMATCH","lines do not sum to stated total (INSTALL); ","")&amp;IF(U39="MISMATCH","lines do not sum to stated total (PRODUCT); ","")&amp;IF(X39="MISMATCH","lines do not sum to stated total (ALLOWANCE); ","")&amp;IF(AA39="MISMATCH","lines do not sum to grand total; ","")&amp;IF(OR(I39="1-"&amp;H39,AND(H39=1,I39="1")),"","pages not read; ")&amp;IF(K39="N","extracted without mapping table; ","")&amp;IF(AB39&gt;1,"document extracted twice; ",""),LEN(IF(O39="MISMATCH","lines do not sum to stated total (LABOUR_ALL); ","")&amp;IF(R39="MISMATCH","lines do not sum to stated total (INSTALL); ","")&amp;IF(U39="MISMATCH","lines do not sum to stated total (PRODUCT); ","")&amp;IF(X39="MISMATCH","lines do not sum to stated total (ALLOWANCE); ","")&amp;IF(AA39="MISMATCH","lines do not sum to grand total; ","")&amp;IF(OR(I39="1-"&amp;H39,AND(H39=1,I39="1")),"","pages not read; ")&amp;IF(K39="N","extracted without mapping table; ","")&amp;IF(AB39&gt;1,"document extracted twice; ",""))-2),""))</f>
        <v/>
      </c>
      <c r="AD39" s="2">
        <f>IF(AC39&lt;&gt;"",MAX($AD$1:AD38)+1,"")</f>
        <v/>
      </c>
    </row>
    <row r="40">
      <c r="A40" s="2" t="n">
        <v>39</v>
      </c>
      <c r="B40" s="2">
        <f>IFERROR(MATCH(A40,Lines!$AF$2:$AF$500,0),"")</f>
        <v/>
      </c>
      <c r="C40" s="2">
        <f>IF(B40="","",INDEX(Lines!$E$2:$E$500,B40)&amp;"")</f>
        <v/>
      </c>
      <c r="D40" s="2">
        <f>IF(B40="","",INDEX(Lines!$B$2:$B$500,B40)&amp;"")</f>
        <v/>
      </c>
      <c r="E40" s="2">
        <f>IF(B40="","",INDEX(Lines!$C$2:$C$500,B40)&amp;"")</f>
        <v/>
      </c>
      <c r="F40" s="2">
        <f>IF(B40="","",INDEX(Lines!$D$2:$D$500,B40)&amp;"")</f>
        <v/>
      </c>
      <c r="G40" s="2">
        <f>IF(B40="","",INDEX(Lines!$F$2:$F$500,B40)&amp;"")</f>
        <v/>
      </c>
      <c r="H40" s="2">
        <f>IF(B40="","",INDEX(Lines!$R$2:$R$500,B40))</f>
        <v/>
      </c>
      <c r="I40" s="2">
        <f>IF(B40="","",INDEX(Lines!$S$2:$S$500,B40)&amp;"")</f>
        <v/>
      </c>
      <c r="J40" s="2">
        <f>IF(B40="","",INDEX(Lines!$T$2:$T$500,B40)&amp;"")</f>
        <v/>
      </c>
      <c r="K40" s="2">
        <f>IF(B40="","",INDEX(Lines!$U$2:$U$500,B40)&amp;"")</f>
        <v/>
      </c>
      <c r="L40" s="2">
        <f>IF(B40="","",INDEX(Lines!$V$2:$V$500,B40)&amp;"")</f>
        <v/>
      </c>
      <c r="M40" s="9">
        <f>IF(C40="","",SUMIFS(Lines!$N$2:$N$500,Lines!$E$2:$E$500,C40,Lines!$A$2:$A$500,"total",Lines!$X$2:$X$500,"LABOUR_ALL"))</f>
        <v/>
      </c>
      <c r="N40" s="9">
        <f>IF(C40="","",SUMIFS(Lines!$N$2:$N$500,Lines!$E$2:$E$500,C40,Lines!$A$2:$A$500,"line",Lines!$X$2:$X$500,"LABOUR_ALL"))</f>
        <v/>
      </c>
      <c r="O40" s="2">
        <f>IF(C40="","",IF(M40=0,"no stated total",IF(ABS(M40-N40)&gt;Settings!$B$2,"MISMATCH","ok")))</f>
        <v/>
      </c>
      <c r="P40" s="9">
        <f>IF(C40="","",SUMIFS(Lines!$N$2:$N$500,Lines!$E$2:$E$500,C40,Lines!$A$2:$A$500,"total",Lines!$O$2:$O$500,"INSTALL"))</f>
        <v/>
      </c>
      <c r="Q40" s="9">
        <f>IF(C40="","",SUMIFS(Lines!$N$2:$N$500,Lines!$E$2:$E$500,C40,Lines!$A$2:$A$500,"line",Lines!$O$2:$O$500,"INSTALL"))</f>
        <v/>
      </c>
      <c r="R40" s="2">
        <f>IF(C40="","",IF(P40=0,"no stated total",IF(ABS(P40-Q40)&gt;Settings!$B$2,"MISMATCH","ok")))</f>
        <v/>
      </c>
      <c r="S40" s="9">
        <f>IF(C40="","",SUMIFS(Lines!$N$2:$N$500,Lines!$E$2:$E$500,C40,Lines!$A$2:$A$500,"total",Lines!$O$2:$O$500,"PRODUCT"))</f>
        <v/>
      </c>
      <c r="T40" s="9">
        <f>IF(C40="","",SUMIFS(Lines!$N$2:$N$500,Lines!$E$2:$E$500,C40,Lines!$A$2:$A$500,"line",Lines!$O$2:$O$500,"PRODUCT"))</f>
        <v/>
      </c>
      <c r="U40" s="2">
        <f>IF(C40="","",IF(S40=0,"no stated total",IF(ABS(S40-T40)&gt;Settings!$B$2,"MISMATCH","ok")))</f>
        <v/>
      </c>
      <c r="V40" s="9">
        <f>IF(C40="","",SUMIFS(Lines!$N$2:$N$500,Lines!$E$2:$E$500,C40,Lines!$A$2:$A$500,"total",Lines!$O$2:$O$500,"ALLOWANCE"))</f>
        <v/>
      </c>
      <c r="W40" s="9">
        <f>IF(C40="","",SUMIFS(Lines!$N$2:$N$500,Lines!$E$2:$E$500,C40,Lines!$A$2:$A$500,"line",Lines!$O$2:$O$500,"ALLOWANCE"))</f>
        <v/>
      </c>
      <c r="X40" s="2">
        <f>IF(C40="","",IF(V40=0,"no stated total",IF(ABS(V40-W40)&gt;Settings!$B$2,"MISMATCH","ok")))</f>
        <v/>
      </c>
      <c r="Y40" s="9">
        <f>IF(C40="","",SUMIFS(Lines!$N$2:$N$500,Lines!$E$2:$E$500,C40,Lines!$A$2:$A$500,"total",Lines!$O$2:$O$500,"GRAND"))</f>
        <v/>
      </c>
      <c r="Z40" s="9">
        <f>IF(C40="","",SUMIFS(Lines!$N$2:$N$500,Lines!$E$2:$E$500,C40,Lines!$A$2:$A$500,"line"))</f>
        <v/>
      </c>
      <c r="AA40" s="2">
        <f>IF(C40="","",IF(Y40=0,"no stated total",IF(ABS(Y40-Z40)&gt;Settings!$B$2,"MISMATCH","ok")))</f>
        <v/>
      </c>
      <c r="AB40" s="2">
        <f>IF(C40="","",COUNTIFS(Lines!$E$2:$E$500,C40,Lines!$A$2:$A$500,"coverage"))</f>
        <v/>
      </c>
      <c r="AC40" s="2">
        <f>IF(C40="","",IF(LEN(IF(O40="MISMATCH","lines do not sum to stated total (LABOUR_ALL); ","")&amp;IF(R40="MISMATCH","lines do not sum to stated total (INSTALL); ","")&amp;IF(U40="MISMATCH","lines do not sum to stated total (PRODUCT); ","")&amp;IF(X40="MISMATCH","lines do not sum to stated total (ALLOWANCE); ","")&amp;IF(AA40="MISMATCH","lines do not sum to grand total; ","")&amp;IF(OR(I40="1-"&amp;H40,AND(H40=1,I40="1")),"","pages not read; ")&amp;IF(K40="N","extracted without mapping table; ","")&amp;IF(AB40&gt;1,"document extracted twice; ",""))&gt;2,LEFT(IF(O40="MISMATCH","lines do not sum to stated total (LABOUR_ALL); ","")&amp;IF(R40="MISMATCH","lines do not sum to stated total (INSTALL); ","")&amp;IF(U40="MISMATCH","lines do not sum to stated total (PRODUCT); ","")&amp;IF(X40="MISMATCH","lines do not sum to stated total (ALLOWANCE); ","")&amp;IF(AA40="MISMATCH","lines do not sum to grand total; ","")&amp;IF(OR(I40="1-"&amp;H40,AND(H40=1,I40="1")),"","pages not read; ")&amp;IF(K40="N","extracted without mapping table; ","")&amp;IF(AB40&gt;1,"document extracted twice; ",""),LEN(IF(O40="MISMATCH","lines do not sum to stated total (LABOUR_ALL); ","")&amp;IF(R40="MISMATCH","lines do not sum to stated total (INSTALL); ","")&amp;IF(U40="MISMATCH","lines do not sum to stated total (PRODUCT); ","")&amp;IF(X40="MISMATCH","lines do not sum to stated total (ALLOWANCE); ","")&amp;IF(AA40="MISMATCH","lines do not sum to grand total; ","")&amp;IF(OR(I40="1-"&amp;H40,AND(H40=1,I40="1")),"","pages not read; ")&amp;IF(K40="N","extracted without mapping table; ","")&amp;IF(AB40&gt;1,"document extracted twice; ",""))-2),""))</f>
        <v/>
      </c>
      <c r="AD40" s="2">
        <f>IF(AC40&lt;&gt;"",MAX($AD$1:AD39)+1,"")</f>
        <v/>
      </c>
    </row>
    <row r="41">
      <c r="A41" s="2" t="n">
        <v>40</v>
      </c>
      <c r="B41" s="2">
        <f>IFERROR(MATCH(A41,Lines!$AF$2:$AF$500,0),"")</f>
        <v/>
      </c>
      <c r="C41" s="2">
        <f>IF(B41="","",INDEX(Lines!$E$2:$E$500,B41)&amp;"")</f>
        <v/>
      </c>
      <c r="D41" s="2">
        <f>IF(B41="","",INDEX(Lines!$B$2:$B$500,B41)&amp;"")</f>
        <v/>
      </c>
      <c r="E41" s="2">
        <f>IF(B41="","",INDEX(Lines!$C$2:$C$500,B41)&amp;"")</f>
        <v/>
      </c>
      <c r="F41" s="2">
        <f>IF(B41="","",INDEX(Lines!$D$2:$D$500,B41)&amp;"")</f>
        <v/>
      </c>
      <c r="G41" s="2">
        <f>IF(B41="","",INDEX(Lines!$F$2:$F$500,B41)&amp;"")</f>
        <v/>
      </c>
      <c r="H41" s="2">
        <f>IF(B41="","",INDEX(Lines!$R$2:$R$500,B41))</f>
        <v/>
      </c>
      <c r="I41" s="2">
        <f>IF(B41="","",INDEX(Lines!$S$2:$S$500,B41)&amp;"")</f>
        <v/>
      </c>
      <c r="J41" s="2">
        <f>IF(B41="","",INDEX(Lines!$T$2:$T$500,B41)&amp;"")</f>
        <v/>
      </c>
      <c r="K41" s="2">
        <f>IF(B41="","",INDEX(Lines!$U$2:$U$500,B41)&amp;"")</f>
        <v/>
      </c>
      <c r="L41" s="2">
        <f>IF(B41="","",INDEX(Lines!$V$2:$V$500,B41)&amp;"")</f>
        <v/>
      </c>
      <c r="M41" s="9">
        <f>IF(C41="","",SUMIFS(Lines!$N$2:$N$500,Lines!$E$2:$E$500,C41,Lines!$A$2:$A$500,"total",Lines!$X$2:$X$500,"LABOUR_ALL"))</f>
        <v/>
      </c>
      <c r="N41" s="9">
        <f>IF(C41="","",SUMIFS(Lines!$N$2:$N$500,Lines!$E$2:$E$500,C41,Lines!$A$2:$A$500,"line",Lines!$X$2:$X$500,"LABOUR_ALL"))</f>
        <v/>
      </c>
      <c r="O41" s="2">
        <f>IF(C41="","",IF(M41=0,"no stated total",IF(ABS(M41-N41)&gt;Settings!$B$2,"MISMATCH","ok")))</f>
        <v/>
      </c>
      <c r="P41" s="9">
        <f>IF(C41="","",SUMIFS(Lines!$N$2:$N$500,Lines!$E$2:$E$500,C41,Lines!$A$2:$A$500,"total",Lines!$O$2:$O$500,"INSTALL"))</f>
        <v/>
      </c>
      <c r="Q41" s="9">
        <f>IF(C41="","",SUMIFS(Lines!$N$2:$N$500,Lines!$E$2:$E$500,C41,Lines!$A$2:$A$500,"line",Lines!$O$2:$O$500,"INSTALL"))</f>
        <v/>
      </c>
      <c r="R41" s="2">
        <f>IF(C41="","",IF(P41=0,"no stated total",IF(ABS(P41-Q41)&gt;Settings!$B$2,"MISMATCH","ok")))</f>
        <v/>
      </c>
      <c r="S41" s="9">
        <f>IF(C41="","",SUMIFS(Lines!$N$2:$N$500,Lines!$E$2:$E$500,C41,Lines!$A$2:$A$500,"total",Lines!$O$2:$O$500,"PRODUCT"))</f>
        <v/>
      </c>
      <c r="T41" s="9">
        <f>IF(C41="","",SUMIFS(Lines!$N$2:$N$500,Lines!$E$2:$E$500,C41,Lines!$A$2:$A$500,"line",Lines!$O$2:$O$500,"PRODUCT"))</f>
        <v/>
      </c>
      <c r="U41" s="2">
        <f>IF(C41="","",IF(S41=0,"no stated total",IF(ABS(S41-T41)&gt;Settings!$B$2,"MISMATCH","ok")))</f>
        <v/>
      </c>
      <c r="V41" s="9">
        <f>IF(C41="","",SUMIFS(Lines!$N$2:$N$500,Lines!$E$2:$E$500,C41,Lines!$A$2:$A$500,"total",Lines!$O$2:$O$500,"ALLOWANCE"))</f>
        <v/>
      </c>
      <c r="W41" s="9">
        <f>IF(C41="","",SUMIFS(Lines!$N$2:$N$500,Lines!$E$2:$E$500,C41,Lines!$A$2:$A$500,"line",Lines!$O$2:$O$500,"ALLOWANCE"))</f>
        <v/>
      </c>
      <c r="X41" s="2">
        <f>IF(C41="","",IF(V41=0,"no stated total",IF(ABS(V41-W41)&gt;Settings!$B$2,"MISMATCH","ok")))</f>
        <v/>
      </c>
      <c r="Y41" s="9">
        <f>IF(C41="","",SUMIFS(Lines!$N$2:$N$500,Lines!$E$2:$E$500,C41,Lines!$A$2:$A$500,"total",Lines!$O$2:$O$500,"GRAND"))</f>
        <v/>
      </c>
      <c r="Z41" s="9">
        <f>IF(C41="","",SUMIFS(Lines!$N$2:$N$500,Lines!$E$2:$E$500,C41,Lines!$A$2:$A$500,"line"))</f>
        <v/>
      </c>
      <c r="AA41" s="2">
        <f>IF(C41="","",IF(Y41=0,"no stated total",IF(ABS(Y41-Z41)&gt;Settings!$B$2,"MISMATCH","ok")))</f>
        <v/>
      </c>
      <c r="AB41" s="2">
        <f>IF(C41="","",COUNTIFS(Lines!$E$2:$E$500,C41,Lines!$A$2:$A$500,"coverage"))</f>
        <v/>
      </c>
      <c r="AC41" s="2">
        <f>IF(C41="","",IF(LEN(IF(O41="MISMATCH","lines do not sum to stated total (LABOUR_ALL); ","")&amp;IF(R41="MISMATCH","lines do not sum to stated total (INSTALL); ","")&amp;IF(U41="MISMATCH","lines do not sum to stated total (PRODUCT); ","")&amp;IF(X41="MISMATCH","lines do not sum to stated total (ALLOWANCE); ","")&amp;IF(AA41="MISMATCH","lines do not sum to grand total; ","")&amp;IF(OR(I41="1-"&amp;H41,AND(H41=1,I41="1")),"","pages not read; ")&amp;IF(K41="N","extracted without mapping table; ","")&amp;IF(AB41&gt;1,"document extracted twice; ",""))&gt;2,LEFT(IF(O41="MISMATCH","lines do not sum to stated total (LABOUR_ALL); ","")&amp;IF(R41="MISMATCH","lines do not sum to stated total (INSTALL); ","")&amp;IF(U41="MISMATCH","lines do not sum to stated total (PRODUCT); ","")&amp;IF(X41="MISMATCH","lines do not sum to stated total (ALLOWANCE); ","")&amp;IF(AA41="MISMATCH","lines do not sum to grand total; ","")&amp;IF(OR(I41="1-"&amp;H41,AND(H41=1,I41="1")),"","pages not read; ")&amp;IF(K41="N","extracted without mapping table; ","")&amp;IF(AB41&gt;1,"document extracted twice; ",""),LEN(IF(O41="MISMATCH","lines do not sum to stated total (LABOUR_ALL); ","")&amp;IF(R41="MISMATCH","lines do not sum to stated total (INSTALL); ","")&amp;IF(U41="MISMATCH","lines do not sum to stated total (PRODUCT); ","")&amp;IF(X41="MISMATCH","lines do not sum to stated total (ALLOWANCE); ","")&amp;IF(AA41="MISMATCH","lines do not sum to grand total; ","")&amp;IF(OR(I41="1-"&amp;H41,AND(H41=1,I41="1")),"","pages not read; ")&amp;IF(K41="N","extracted without mapping table; ","")&amp;IF(AB41&gt;1,"document extracted twice; ",""))-2),""))</f>
        <v/>
      </c>
      <c r="AD41" s="2">
        <f>IF(AC41&lt;&gt;"",MAX($AD$1:AD40)+1,"")</f>
        <v/>
      </c>
    </row>
    <row r="42">
      <c r="A42" s="2" t="n">
        <v>41</v>
      </c>
      <c r="B42" s="2">
        <f>IFERROR(MATCH(A42,Lines!$AF$2:$AF$500,0),"")</f>
        <v/>
      </c>
      <c r="C42" s="2">
        <f>IF(B42="","",INDEX(Lines!$E$2:$E$500,B42)&amp;"")</f>
        <v/>
      </c>
      <c r="D42" s="2">
        <f>IF(B42="","",INDEX(Lines!$B$2:$B$500,B42)&amp;"")</f>
        <v/>
      </c>
      <c r="E42" s="2">
        <f>IF(B42="","",INDEX(Lines!$C$2:$C$500,B42)&amp;"")</f>
        <v/>
      </c>
      <c r="F42" s="2">
        <f>IF(B42="","",INDEX(Lines!$D$2:$D$500,B42)&amp;"")</f>
        <v/>
      </c>
      <c r="G42" s="2">
        <f>IF(B42="","",INDEX(Lines!$F$2:$F$500,B42)&amp;"")</f>
        <v/>
      </c>
      <c r="H42" s="2">
        <f>IF(B42="","",INDEX(Lines!$R$2:$R$500,B42))</f>
        <v/>
      </c>
      <c r="I42" s="2">
        <f>IF(B42="","",INDEX(Lines!$S$2:$S$500,B42)&amp;"")</f>
        <v/>
      </c>
      <c r="J42" s="2">
        <f>IF(B42="","",INDEX(Lines!$T$2:$T$500,B42)&amp;"")</f>
        <v/>
      </c>
      <c r="K42" s="2">
        <f>IF(B42="","",INDEX(Lines!$U$2:$U$500,B42)&amp;"")</f>
        <v/>
      </c>
      <c r="L42" s="2">
        <f>IF(B42="","",INDEX(Lines!$V$2:$V$500,B42)&amp;"")</f>
        <v/>
      </c>
      <c r="M42" s="9">
        <f>IF(C42="","",SUMIFS(Lines!$N$2:$N$500,Lines!$E$2:$E$500,C42,Lines!$A$2:$A$500,"total",Lines!$X$2:$X$500,"LABOUR_ALL"))</f>
        <v/>
      </c>
      <c r="N42" s="9">
        <f>IF(C42="","",SUMIFS(Lines!$N$2:$N$500,Lines!$E$2:$E$500,C42,Lines!$A$2:$A$500,"line",Lines!$X$2:$X$500,"LABOUR_ALL"))</f>
        <v/>
      </c>
      <c r="O42" s="2">
        <f>IF(C42="","",IF(M42=0,"no stated total",IF(ABS(M42-N42)&gt;Settings!$B$2,"MISMATCH","ok")))</f>
        <v/>
      </c>
      <c r="P42" s="9">
        <f>IF(C42="","",SUMIFS(Lines!$N$2:$N$500,Lines!$E$2:$E$500,C42,Lines!$A$2:$A$500,"total",Lines!$O$2:$O$500,"INSTALL"))</f>
        <v/>
      </c>
      <c r="Q42" s="9">
        <f>IF(C42="","",SUMIFS(Lines!$N$2:$N$500,Lines!$E$2:$E$500,C42,Lines!$A$2:$A$500,"line",Lines!$O$2:$O$500,"INSTALL"))</f>
        <v/>
      </c>
      <c r="R42" s="2">
        <f>IF(C42="","",IF(P42=0,"no stated total",IF(ABS(P42-Q42)&gt;Settings!$B$2,"MISMATCH","ok")))</f>
        <v/>
      </c>
      <c r="S42" s="9">
        <f>IF(C42="","",SUMIFS(Lines!$N$2:$N$500,Lines!$E$2:$E$500,C42,Lines!$A$2:$A$500,"total",Lines!$O$2:$O$500,"PRODUCT"))</f>
        <v/>
      </c>
      <c r="T42" s="9">
        <f>IF(C42="","",SUMIFS(Lines!$N$2:$N$500,Lines!$E$2:$E$500,C42,Lines!$A$2:$A$500,"line",Lines!$O$2:$O$500,"PRODUCT"))</f>
        <v/>
      </c>
      <c r="U42" s="2">
        <f>IF(C42="","",IF(S42=0,"no stated total",IF(ABS(S42-T42)&gt;Settings!$B$2,"MISMATCH","ok")))</f>
        <v/>
      </c>
      <c r="V42" s="9">
        <f>IF(C42="","",SUMIFS(Lines!$N$2:$N$500,Lines!$E$2:$E$500,C42,Lines!$A$2:$A$500,"total",Lines!$O$2:$O$500,"ALLOWANCE"))</f>
        <v/>
      </c>
      <c r="W42" s="9">
        <f>IF(C42="","",SUMIFS(Lines!$N$2:$N$500,Lines!$E$2:$E$500,C42,Lines!$A$2:$A$500,"line",Lines!$O$2:$O$500,"ALLOWANCE"))</f>
        <v/>
      </c>
      <c r="X42" s="2">
        <f>IF(C42="","",IF(V42=0,"no stated total",IF(ABS(V42-W42)&gt;Settings!$B$2,"MISMATCH","ok")))</f>
        <v/>
      </c>
      <c r="Y42" s="9">
        <f>IF(C42="","",SUMIFS(Lines!$N$2:$N$500,Lines!$E$2:$E$500,C42,Lines!$A$2:$A$500,"total",Lines!$O$2:$O$500,"GRAND"))</f>
        <v/>
      </c>
      <c r="Z42" s="9">
        <f>IF(C42="","",SUMIFS(Lines!$N$2:$N$500,Lines!$E$2:$E$500,C42,Lines!$A$2:$A$500,"line"))</f>
        <v/>
      </c>
      <c r="AA42" s="2">
        <f>IF(C42="","",IF(Y42=0,"no stated total",IF(ABS(Y42-Z42)&gt;Settings!$B$2,"MISMATCH","ok")))</f>
        <v/>
      </c>
      <c r="AB42" s="2">
        <f>IF(C42="","",COUNTIFS(Lines!$E$2:$E$500,C42,Lines!$A$2:$A$500,"coverage"))</f>
        <v/>
      </c>
      <c r="AC42" s="2">
        <f>IF(C42="","",IF(LEN(IF(O42="MISMATCH","lines do not sum to stated total (LABOUR_ALL); ","")&amp;IF(R42="MISMATCH","lines do not sum to stated total (INSTALL); ","")&amp;IF(U42="MISMATCH","lines do not sum to stated total (PRODUCT); ","")&amp;IF(X42="MISMATCH","lines do not sum to stated total (ALLOWANCE); ","")&amp;IF(AA42="MISMATCH","lines do not sum to grand total; ","")&amp;IF(OR(I42="1-"&amp;H42,AND(H42=1,I42="1")),"","pages not read; ")&amp;IF(K42="N","extracted without mapping table; ","")&amp;IF(AB42&gt;1,"document extracted twice; ",""))&gt;2,LEFT(IF(O42="MISMATCH","lines do not sum to stated total (LABOUR_ALL); ","")&amp;IF(R42="MISMATCH","lines do not sum to stated total (INSTALL); ","")&amp;IF(U42="MISMATCH","lines do not sum to stated total (PRODUCT); ","")&amp;IF(X42="MISMATCH","lines do not sum to stated total (ALLOWANCE); ","")&amp;IF(AA42="MISMATCH","lines do not sum to grand total; ","")&amp;IF(OR(I42="1-"&amp;H42,AND(H42=1,I42="1")),"","pages not read; ")&amp;IF(K42="N","extracted without mapping table; ","")&amp;IF(AB42&gt;1,"document extracted twice; ",""),LEN(IF(O42="MISMATCH","lines do not sum to stated total (LABOUR_ALL); ","")&amp;IF(R42="MISMATCH","lines do not sum to stated total (INSTALL); ","")&amp;IF(U42="MISMATCH","lines do not sum to stated total (PRODUCT); ","")&amp;IF(X42="MISMATCH","lines do not sum to stated total (ALLOWANCE); ","")&amp;IF(AA42="MISMATCH","lines do not sum to grand total; ","")&amp;IF(OR(I42="1-"&amp;H42,AND(H42=1,I42="1")),"","pages not read; ")&amp;IF(K42="N","extracted without mapping table; ","")&amp;IF(AB42&gt;1,"document extracted twice; ",""))-2),""))</f>
        <v/>
      </c>
      <c r="AD42" s="2">
        <f>IF(AC42&lt;&gt;"",MAX($AD$1:AD41)+1,"")</f>
        <v/>
      </c>
    </row>
    <row r="43">
      <c r="A43" s="2" t="n">
        <v>42</v>
      </c>
      <c r="B43" s="2">
        <f>IFERROR(MATCH(A43,Lines!$AF$2:$AF$500,0),"")</f>
        <v/>
      </c>
      <c r="C43" s="2">
        <f>IF(B43="","",INDEX(Lines!$E$2:$E$500,B43)&amp;"")</f>
        <v/>
      </c>
      <c r="D43" s="2">
        <f>IF(B43="","",INDEX(Lines!$B$2:$B$500,B43)&amp;"")</f>
        <v/>
      </c>
      <c r="E43" s="2">
        <f>IF(B43="","",INDEX(Lines!$C$2:$C$500,B43)&amp;"")</f>
        <v/>
      </c>
      <c r="F43" s="2">
        <f>IF(B43="","",INDEX(Lines!$D$2:$D$500,B43)&amp;"")</f>
        <v/>
      </c>
      <c r="G43" s="2">
        <f>IF(B43="","",INDEX(Lines!$F$2:$F$500,B43)&amp;"")</f>
        <v/>
      </c>
      <c r="H43" s="2">
        <f>IF(B43="","",INDEX(Lines!$R$2:$R$500,B43))</f>
        <v/>
      </c>
      <c r="I43" s="2">
        <f>IF(B43="","",INDEX(Lines!$S$2:$S$500,B43)&amp;"")</f>
        <v/>
      </c>
      <c r="J43" s="2">
        <f>IF(B43="","",INDEX(Lines!$T$2:$T$500,B43)&amp;"")</f>
        <v/>
      </c>
      <c r="K43" s="2">
        <f>IF(B43="","",INDEX(Lines!$U$2:$U$500,B43)&amp;"")</f>
        <v/>
      </c>
      <c r="L43" s="2">
        <f>IF(B43="","",INDEX(Lines!$V$2:$V$500,B43)&amp;"")</f>
        <v/>
      </c>
      <c r="M43" s="9">
        <f>IF(C43="","",SUMIFS(Lines!$N$2:$N$500,Lines!$E$2:$E$500,C43,Lines!$A$2:$A$500,"total",Lines!$X$2:$X$500,"LABOUR_ALL"))</f>
        <v/>
      </c>
      <c r="N43" s="9">
        <f>IF(C43="","",SUMIFS(Lines!$N$2:$N$500,Lines!$E$2:$E$500,C43,Lines!$A$2:$A$500,"line",Lines!$X$2:$X$500,"LABOUR_ALL"))</f>
        <v/>
      </c>
      <c r="O43" s="2">
        <f>IF(C43="","",IF(M43=0,"no stated total",IF(ABS(M43-N43)&gt;Settings!$B$2,"MISMATCH","ok")))</f>
        <v/>
      </c>
      <c r="P43" s="9">
        <f>IF(C43="","",SUMIFS(Lines!$N$2:$N$500,Lines!$E$2:$E$500,C43,Lines!$A$2:$A$500,"total",Lines!$O$2:$O$500,"INSTALL"))</f>
        <v/>
      </c>
      <c r="Q43" s="9">
        <f>IF(C43="","",SUMIFS(Lines!$N$2:$N$500,Lines!$E$2:$E$500,C43,Lines!$A$2:$A$500,"line",Lines!$O$2:$O$500,"INSTALL"))</f>
        <v/>
      </c>
      <c r="R43" s="2">
        <f>IF(C43="","",IF(P43=0,"no stated total",IF(ABS(P43-Q43)&gt;Settings!$B$2,"MISMATCH","ok")))</f>
        <v/>
      </c>
      <c r="S43" s="9">
        <f>IF(C43="","",SUMIFS(Lines!$N$2:$N$500,Lines!$E$2:$E$500,C43,Lines!$A$2:$A$500,"total",Lines!$O$2:$O$500,"PRODUCT"))</f>
        <v/>
      </c>
      <c r="T43" s="9">
        <f>IF(C43="","",SUMIFS(Lines!$N$2:$N$500,Lines!$E$2:$E$500,C43,Lines!$A$2:$A$500,"line",Lines!$O$2:$O$500,"PRODUCT"))</f>
        <v/>
      </c>
      <c r="U43" s="2">
        <f>IF(C43="","",IF(S43=0,"no stated total",IF(ABS(S43-T43)&gt;Settings!$B$2,"MISMATCH","ok")))</f>
        <v/>
      </c>
      <c r="V43" s="9">
        <f>IF(C43="","",SUMIFS(Lines!$N$2:$N$500,Lines!$E$2:$E$500,C43,Lines!$A$2:$A$500,"total",Lines!$O$2:$O$500,"ALLOWANCE"))</f>
        <v/>
      </c>
      <c r="W43" s="9">
        <f>IF(C43="","",SUMIFS(Lines!$N$2:$N$500,Lines!$E$2:$E$500,C43,Lines!$A$2:$A$500,"line",Lines!$O$2:$O$500,"ALLOWANCE"))</f>
        <v/>
      </c>
      <c r="X43" s="2">
        <f>IF(C43="","",IF(V43=0,"no stated total",IF(ABS(V43-W43)&gt;Settings!$B$2,"MISMATCH","ok")))</f>
        <v/>
      </c>
      <c r="Y43" s="9">
        <f>IF(C43="","",SUMIFS(Lines!$N$2:$N$500,Lines!$E$2:$E$500,C43,Lines!$A$2:$A$500,"total",Lines!$O$2:$O$500,"GRAND"))</f>
        <v/>
      </c>
      <c r="Z43" s="9">
        <f>IF(C43="","",SUMIFS(Lines!$N$2:$N$500,Lines!$E$2:$E$500,C43,Lines!$A$2:$A$500,"line"))</f>
        <v/>
      </c>
      <c r="AA43" s="2">
        <f>IF(C43="","",IF(Y43=0,"no stated total",IF(ABS(Y43-Z43)&gt;Settings!$B$2,"MISMATCH","ok")))</f>
        <v/>
      </c>
      <c r="AB43" s="2">
        <f>IF(C43="","",COUNTIFS(Lines!$E$2:$E$500,C43,Lines!$A$2:$A$500,"coverage"))</f>
        <v/>
      </c>
      <c r="AC43" s="2">
        <f>IF(C43="","",IF(LEN(IF(O43="MISMATCH","lines do not sum to stated total (LABOUR_ALL); ","")&amp;IF(R43="MISMATCH","lines do not sum to stated total (INSTALL); ","")&amp;IF(U43="MISMATCH","lines do not sum to stated total (PRODUCT); ","")&amp;IF(X43="MISMATCH","lines do not sum to stated total (ALLOWANCE); ","")&amp;IF(AA43="MISMATCH","lines do not sum to grand total; ","")&amp;IF(OR(I43="1-"&amp;H43,AND(H43=1,I43="1")),"","pages not read; ")&amp;IF(K43="N","extracted without mapping table; ","")&amp;IF(AB43&gt;1,"document extracted twice; ",""))&gt;2,LEFT(IF(O43="MISMATCH","lines do not sum to stated total (LABOUR_ALL); ","")&amp;IF(R43="MISMATCH","lines do not sum to stated total (INSTALL); ","")&amp;IF(U43="MISMATCH","lines do not sum to stated total (PRODUCT); ","")&amp;IF(X43="MISMATCH","lines do not sum to stated total (ALLOWANCE); ","")&amp;IF(AA43="MISMATCH","lines do not sum to grand total; ","")&amp;IF(OR(I43="1-"&amp;H43,AND(H43=1,I43="1")),"","pages not read; ")&amp;IF(K43="N","extracted without mapping table; ","")&amp;IF(AB43&gt;1,"document extracted twice; ",""),LEN(IF(O43="MISMATCH","lines do not sum to stated total (LABOUR_ALL); ","")&amp;IF(R43="MISMATCH","lines do not sum to stated total (INSTALL); ","")&amp;IF(U43="MISMATCH","lines do not sum to stated total (PRODUCT); ","")&amp;IF(X43="MISMATCH","lines do not sum to stated total (ALLOWANCE); ","")&amp;IF(AA43="MISMATCH","lines do not sum to grand total; ","")&amp;IF(OR(I43="1-"&amp;H43,AND(H43=1,I43="1")),"","pages not read; ")&amp;IF(K43="N","extracted without mapping table; ","")&amp;IF(AB43&gt;1,"document extracted twice; ",""))-2),""))</f>
        <v/>
      </c>
      <c r="AD43" s="2">
        <f>IF(AC43&lt;&gt;"",MAX($AD$1:AD42)+1,"")</f>
        <v/>
      </c>
    </row>
    <row r="44">
      <c r="A44" s="2" t="n">
        <v>43</v>
      </c>
      <c r="B44" s="2">
        <f>IFERROR(MATCH(A44,Lines!$AF$2:$AF$500,0),"")</f>
        <v/>
      </c>
      <c r="C44" s="2">
        <f>IF(B44="","",INDEX(Lines!$E$2:$E$500,B44)&amp;"")</f>
        <v/>
      </c>
      <c r="D44" s="2">
        <f>IF(B44="","",INDEX(Lines!$B$2:$B$500,B44)&amp;"")</f>
        <v/>
      </c>
      <c r="E44" s="2">
        <f>IF(B44="","",INDEX(Lines!$C$2:$C$500,B44)&amp;"")</f>
        <v/>
      </c>
      <c r="F44" s="2">
        <f>IF(B44="","",INDEX(Lines!$D$2:$D$500,B44)&amp;"")</f>
        <v/>
      </c>
      <c r="G44" s="2">
        <f>IF(B44="","",INDEX(Lines!$F$2:$F$500,B44)&amp;"")</f>
        <v/>
      </c>
      <c r="H44" s="2">
        <f>IF(B44="","",INDEX(Lines!$R$2:$R$500,B44))</f>
        <v/>
      </c>
      <c r="I44" s="2">
        <f>IF(B44="","",INDEX(Lines!$S$2:$S$500,B44)&amp;"")</f>
        <v/>
      </c>
      <c r="J44" s="2">
        <f>IF(B44="","",INDEX(Lines!$T$2:$T$500,B44)&amp;"")</f>
        <v/>
      </c>
      <c r="K44" s="2">
        <f>IF(B44="","",INDEX(Lines!$U$2:$U$500,B44)&amp;"")</f>
        <v/>
      </c>
      <c r="L44" s="2">
        <f>IF(B44="","",INDEX(Lines!$V$2:$V$500,B44)&amp;"")</f>
        <v/>
      </c>
      <c r="M44" s="9">
        <f>IF(C44="","",SUMIFS(Lines!$N$2:$N$500,Lines!$E$2:$E$500,C44,Lines!$A$2:$A$500,"total",Lines!$X$2:$X$500,"LABOUR_ALL"))</f>
        <v/>
      </c>
      <c r="N44" s="9">
        <f>IF(C44="","",SUMIFS(Lines!$N$2:$N$500,Lines!$E$2:$E$500,C44,Lines!$A$2:$A$500,"line",Lines!$X$2:$X$500,"LABOUR_ALL"))</f>
        <v/>
      </c>
      <c r="O44" s="2">
        <f>IF(C44="","",IF(M44=0,"no stated total",IF(ABS(M44-N44)&gt;Settings!$B$2,"MISMATCH","ok")))</f>
        <v/>
      </c>
      <c r="P44" s="9">
        <f>IF(C44="","",SUMIFS(Lines!$N$2:$N$500,Lines!$E$2:$E$500,C44,Lines!$A$2:$A$500,"total",Lines!$O$2:$O$500,"INSTALL"))</f>
        <v/>
      </c>
      <c r="Q44" s="9">
        <f>IF(C44="","",SUMIFS(Lines!$N$2:$N$500,Lines!$E$2:$E$500,C44,Lines!$A$2:$A$500,"line",Lines!$O$2:$O$500,"INSTALL"))</f>
        <v/>
      </c>
      <c r="R44" s="2">
        <f>IF(C44="","",IF(P44=0,"no stated total",IF(ABS(P44-Q44)&gt;Settings!$B$2,"MISMATCH","ok")))</f>
        <v/>
      </c>
      <c r="S44" s="9">
        <f>IF(C44="","",SUMIFS(Lines!$N$2:$N$500,Lines!$E$2:$E$500,C44,Lines!$A$2:$A$500,"total",Lines!$O$2:$O$500,"PRODUCT"))</f>
        <v/>
      </c>
      <c r="T44" s="9">
        <f>IF(C44="","",SUMIFS(Lines!$N$2:$N$500,Lines!$E$2:$E$500,C44,Lines!$A$2:$A$500,"line",Lines!$O$2:$O$500,"PRODUCT"))</f>
        <v/>
      </c>
      <c r="U44" s="2">
        <f>IF(C44="","",IF(S44=0,"no stated total",IF(ABS(S44-T44)&gt;Settings!$B$2,"MISMATCH","ok")))</f>
        <v/>
      </c>
      <c r="V44" s="9">
        <f>IF(C44="","",SUMIFS(Lines!$N$2:$N$500,Lines!$E$2:$E$500,C44,Lines!$A$2:$A$500,"total",Lines!$O$2:$O$500,"ALLOWANCE"))</f>
        <v/>
      </c>
      <c r="W44" s="9">
        <f>IF(C44="","",SUMIFS(Lines!$N$2:$N$500,Lines!$E$2:$E$500,C44,Lines!$A$2:$A$500,"line",Lines!$O$2:$O$500,"ALLOWANCE"))</f>
        <v/>
      </c>
      <c r="X44" s="2">
        <f>IF(C44="","",IF(V44=0,"no stated total",IF(ABS(V44-W44)&gt;Settings!$B$2,"MISMATCH","ok")))</f>
        <v/>
      </c>
      <c r="Y44" s="9">
        <f>IF(C44="","",SUMIFS(Lines!$N$2:$N$500,Lines!$E$2:$E$500,C44,Lines!$A$2:$A$500,"total",Lines!$O$2:$O$500,"GRAND"))</f>
        <v/>
      </c>
      <c r="Z44" s="9">
        <f>IF(C44="","",SUMIFS(Lines!$N$2:$N$500,Lines!$E$2:$E$500,C44,Lines!$A$2:$A$500,"line"))</f>
        <v/>
      </c>
      <c r="AA44" s="2">
        <f>IF(C44="","",IF(Y44=0,"no stated total",IF(ABS(Y44-Z44)&gt;Settings!$B$2,"MISMATCH","ok")))</f>
        <v/>
      </c>
      <c r="AB44" s="2">
        <f>IF(C44="","",COUNTIFS(Lines!$E$2:$E$500,C44,Lines!$A$2:$A$500,"coverage"))</f>
        <v/>
      </c>
      <c r="AC44" s="2">
        <f>IF(C44="","",IF(LEN(IF(O44="MISMATCH","lines do not sum to stated total (LABOUR_ALL); ","")&amp;IF(R44="MISMATCH","lines do not sum to stated total (INSTALL); ","")&amp;IF(U44="MISMATCH","lines do not sum to stated total (PRODUCT); ","")&amp;IF(X44="MISMATCH","lines do not sum to stated total (ALLOWANCE); ","")&amp;IF(AA44="MISMATCH","lines do not sum to grand total; ","")&amp;IF(OR(I44="1-"&amp;H44,AND(H44=1,I44="1")),"","pages not read; ")&amp;IF(K44="N","extracted without mapping table; ","")&amp;IF(AB44&gt;1,"document extracted twice; ",""))&gt;2,LEFT(IF(O44="MISMATCH","lines do not sum to stated total (LABOUR_ALL); ","")&amp;IF(R44="MISMATCH","lines do not sum to stated total (INSTALL); ","")&amp;IF(U44="MISMATCH","lines do not sum to stated total (PRODUCT); ","")&amp;IF(X44="MISMATCH","lines do not sum to stated total (ALLOWANCE); ","")&amp;IF(AA44="MISMATCH","lines do not sum to grand total; ","")&amp;IF(OR(I44="1-"&amp;H44,AND(H44=1,I44="1")),"","pages not read; ")&amp;IF(K44="N","extracted without mapping table; ","")&amp;IF(AB44&gt;1,"document extracted twice; ",""),LEN(IF(O44="MISMATCH","lines do not sum to stated total (LABOUR_ALL); ","")&amp;IF(R44="MISMATCH","lines do not sum to stated total (INSTALL); ","")&amp;IF(U44="MISMATCH","lines do not sum to stated total (PRODUCT); ","")&amp;IF(X44="MISMATCH","lines do not sum to stated total (ALLOWANCE); ","")&amp;IF(AA44="MISMATCH","lines do not sum to grand total; ","")&amp;IF(OR(I44="1-"&amp;H44,AND(H44=1,I44="1")),"","pages not read; ")&amp;IF(K44="N","extracted without mapping table; ","")&amp;IF(AB44&gt;1,"document extracted twice; ",""))-2),""))</f>
        <v/>
      </c>
      <c r="AD44" s="2">
        <f>IF(AC44&lt;&gt;"",MAX($AD$1:AD43)+1,"")</f>
        <v/>
      </c>
    </row>
    <row r="45">
      <c r="A45" s="2" t="n">
        <v>44</v>
      </c>
      <c r="B45" s="2">
        <f>IFERROR(MATCH(A45,Lines!$AF$2:$AF$500,0),"")</f>
        <v/>
      </c>
      <c r="C45" s="2">
        <f>IF(B45="","",INDEX(Lines!$E$2:$E$500,B45)&amp;"")</f>
        <v/>
      </c>
      <c r="D45" s="2">
        <f>IF(B45="","",INDEX(Lines!$B$2:$B$500,B45)&amp;"")</f>
        <v/>
      </c>
      <c r="E45" s="2">
        <f>IF(B45="","",INDEX(Lines!$C$2:$C$500,B45)&amp;"")</f>
        <v/>
      </c>
      <c r="F45" s="2">
        <f>IF(B45="","",INDEX(Lines!$D$2:$D$500,B45)&amp;"")</f>
        <v/>
      </c>
      <c r="G45" s="2">
        <f>IF(B45="","",INDEX(Lines!$F$2:$F$500,B45)&amp;"")</f>
        <v/>
      </c>
      <c r="H45" s="2">
        <f>IF(B45="","",INDEX(Lines!$R$2:$R$500,B45))</f>
        <v/>
      </c>
      <c r="I45" s="2">
        <f>IF(B45="","",INDEX(Lines!$S$2:$S$500,B45)&amp;"")</f>
        <v/>
      </c>
      <c r="J45" s="2">
        <f>IF(B45="","",INDEX(Lines!$T$2:$T$500,B45)&amp;"")</f>
        <v/>
      </c>
      <c r="K45" s="2">
        <f>IF(B45="","",INDEX(Lines!$U$2:$U$500,B45)&amp;"")</f>
        <v/>
      </c>
      <c r="L45" s="2">
        <f>IF(B45="","",INDEX(Lines!$V$2:$V$500,B45)&amp;"")</f>
        <v/>
      </c>
      <c r="M45" s="9">
        <f>IF(C45="","",SUMIFS(Lines!$N$2:$N$500,Lines!$E$2:$E$500,C45,Lines!$A$2:$A$500,"total",Lines!$X$2:$X$500,"LABOUR_ALL"))</f>
        <v/>
      </c>
      <c r="N45" s="9">
        <f>IF(C45="","",SUMIFS(Lines!$N$2:$N$500,Lines!$E$2:$E$500,C45,Lines!$A$2:$A$500,"line",Lines!$X$2:$X$500,"LABOUR_ALL"))</f>
        <v/>
      </c>
      <c r="O45" s="2">
        <f>IF(C45="","",IF(M45=0,"no stated total",IF(ABS(M45-N45)&gt;Settings!$B$2,"MISMATCH","ok")))</f>
        <v/>
      </c>
      <c r="P45" s="9">
        <f>IF(C45="","",SUMIFS(Lines!$N$2:$N$500,Lines!$E$2:$E$500,C45,Lines!$A$2:$A$500,"total",Lines!$O$2:$O$500,"INSTALL"))</f>
        <v/>
      </c>
      <c r="Q45" s="9">
        <f>IF(C45="","",SUMIFS(Lines!$N$2:$N$500,Lines!$E$2:$E$500,C45,Lines!$A$2:$A$500,"line",Lines!$O$2:$O$500,"INSTALL"))</f>
        <v/>
      </c>
      <c r="R45" s="2">
        <f>IF(C45="","",IF(P45=0,"no stated total",IF(ABS(P45-Q45)&gt;Settings!$B$2,"MISMATCH","ok")))</f>
        <v/>
      </c>
      <c r="S45" s="9">
        <f>IF(C45="","",SUMIFS(Lines!$N$2:$N$500,Lines!$E$2:$E$500,C45,Lines!$A$2:$A$500,"total",Lines!$O$2:$O$500,"PRODUCT"))</f>
        <v/>
      </c>
      <c r="T45" s="9">
        <f>IF(C45="","",SUMIFS(Lines!$N$2:$N$500,Lines!$E$2:$E$500,C45,Lines!$A$2:$A$500,"line",Lines!$O$2:$O$500,"PRODUCT"))</f>
        <v/>
      </c>
      <c r="U45" s="2">
        <f>IF(C45="","",IF(S45=0,"no stated total",IF(ABS(S45-T45)&gt;Settings!$B$2,"MISMATCH","ok")))</f>
        <v/>
      </c>
      <c r="V45" s="9">
        <f>IF(C45="","",SUMIFS(Lines!$N$2:$N$500,Lines!$E$2:$E$500,C45,Lines!$A$2:$A$500,"total",Lines!$O$2:$O$500,"ALLOWANCE"))</f>
        <v/>
      </c>
      <c r="W45" s="9">
        <f>IF(C45="","",SUMIFS(Lines!$N$2:$N$500,Lines!$E$2:$E$500,C45,Lines!$A$2:$A$500,"line",Lines!$O$2:$O$500,"ALLOWANCE"))</f>
        <v/>
      </c>
      <c r="X45" s="2">
        <f>IF(C45="","",IF(V45=0,"no stated total",IF(ABS(V45-W45)&gt;Settings!$B$2,"MISMATCH","ok")))</f>
        <v/>
      </c>
      <c r="Y45" s="9">
        <f>IF(C45="","",SUMIFS(Lines!$N$2:$N$500,Lines!$E$2:$E$500,C45,Lines!$A$2:$A$500,"total",Lines!$O$2:$O$500,"GRAND"))</f>
        <v/>
      </c>
      <c r="Z45" s="9">
        <f>IF(C45="","",SUMIFS(Lines!$N$2:$N$500,Lines!$E$2:$E$500,C45,Lines!$A$2:$A$500,"line"))</f>
        <v/>
      </c>
      <c r="AA45" s="2">
        <f>IF(C45="","",IF(Y45=0,"no stated total",IF(ABS(Y45-Z45)&gt;Settings!$B$2,"MISMATCH","ok")))</f>
        <v/>
      </c>
      <c r="AB45" s="2">
        <f>IF(C45="","",COUNTIFS(Lines!$E$2:$E$500,C45,Lines!$A$2:$A$500,"coverage"))</f>
        <v/>
      </c>
      <c r="AC45" s="2">
        <f>IF(C45="","",IF(LEN(IF(O45="MISMATCH","lines do not sum to stated total (LABOUR_ALL); ","")&amp;IF(R45="MISMATCH","lines do not sum to stated total (INSTALL); ","")&amp;IF(U45="MISMATCH","lines do not sum to stated total (PRODUCT); ","")&amp;IF(X45="MISMATCH","lines do not sum to stated total (ALLOWANCE); ","")&amp;IF(AA45="MISMATCH","lines do not sum to grand total; ","")&amp;IF(OR(I45="1-"&amp;H45,AND(H45=1,I45="1")),"","pages not read; ")&amp;IF(K45="N","extracted without mapping table; ","")&amp;IF(AB45&gt;1,"document extracted twice; ",""))&gt;2,LEFT(IF(O45="MISMATCH","lines do not sum to stated total (LABOUR_ALL); ","")&amp;IF(R45="MISMATCH","lines do not sum to stated total (INSTALL); ","")&amp;IF(U45="MISMATCH","lines do not sum to stated total (PRODUCT); ","")&amp;IF(X45="MISMATCH","lines do not sum to stated total (ALLOWANCE); ","")&amp;IF(AA45="MISMATCH","lines do not sum to grand total; ","")&amp;IF(OR(I45="1-"&amp;H45,AND(H45=1,I45="1")),"","pages not read; ")&amp;IF(K45="N","extracted without mapping table; ","")&amp;IF(AB45&gt;1,"document extracted twice; ",""),LEN(IF(O45="MISMATCH","lines do not sum to stated total (LABOUR_ALL); ","")&amp;IF(R45="MISMATCH","lines do not sum to stated total (INSTALL); ","")&amp;IF(U45="MISMATCH","lines do not sum to stated total (PRODUCT); ","")&amp;IF(X45="MISMATCH","lines do not sum to stated total (ALLOWANCE); ","")&amp;IF(AA45="MISMATCH","lines do not sum to grand total; ","")&amp;IF(OR(I45="1-"&amp;H45,AND(H45=1,I45="1")),"","pages not read; ")&amp;IF(K45="N","extracted without mapping table; ","")&amp;IF(AB45&gt;1,"document extracted twice; ",""))-2),""))</f>
        <v/>
      </c>
      <c r="AD45" s="2">
        <f>IF(AC45&lt;&gt;"",MAX($AD$1:AD44)+1,"")</f>
        <v/>
      </c>
    </row>
    <row r="46">
      <c r="A46" s="2" t="n">
        <v>45</v>
      </c>
      <c r="B46" s="2">
        <f>IFERROR(MATCH(A46,Lines!$AF$2:$AF$500,0),"")</f>
        <v/>
      </c>
      <c r="C46" s="2">
        <f>IF(B46="","",INDEX(Lines!$E$2:$E$500,B46)&amp;"")</f>
        <v/>
      </c>
      <c r="D46" s="2">
        <f>IF(B46="","",INDEX(Lines!$B$2:$B$500,B46)&amp;"")</f>
        <v/>
      </c>
      <c r="E46" s="2">
        <f>IF(B46="","",INDEX(Lines!$C$2:$C$500,B46)&amp;"")</f>
        <v/>
      </c>
      <c r="F46" s="2">
        <f>IF(B46="","",INDEX(Lines!$D$2:$D$500,B46)&amp;"")</f>
        <v/>
      </c>
      <c r="G46" s="2">
        <f>IF(B46="","",INDEX(Lines!$F$2:$F$500,B46)&amp;"")</f>
        <v/>
      </c>
      <c r="H46" s="2">
        <f>IF(B46="","",INDEX(Lines!$R$2:$R$500,B46))</f>
        <v/>
      </c>
      <c r="I46" s="2">
        <f>IF(B46="","",INDEX(Lines!$S$2:$S$500,B46)&amp;"")</f>
        <v/>
      </c>
      <c r="J46" s="2">
        <f>IF(B46="","",INDEX(Lines!$T$2:$T$500,B46)&amp;"")</f>
        <v/>
      </c>
      <c r="K46" s="2">
        <f>IF(B46="","",INDEX(Lines!$U$2:$U$500,B46)&amp;"")</f>
        <v/>
      </c>
      <c r="L46" s="2">
        <f>IF(B46="","",INDEX(Lines!$V$2:$V$500,B46)&amp;"")</f>
        <v/>
      </c>
      <c r="M46" s="9">
        <f>IF(C46="","",SUMIFS(Lines!$N$2:$N$500,Lines!$E$2:$E$500,C46,Lines!$A$2:$A$500,"total",Lines!$X$2:$X$500,"LABOUR_ALL"))</f>
        <v/>
      </c>
      <c r="N46" s="9">
        <f>IF(C46="","",SUMIFS(Lines!$N$2:$N$500,Lines!$E$2:$E$500,C46,Lines!$A$2:$A$500,"line",Lines!$X$2:$X$500,"LABOUR_ALL"))</f>
        <v/>
      </c>
      <c r="O46" s="2">
        <f>IF(C46="","",IF(M46=0,"no stated total",IF(ABS(M46-N46)&gt;Settings!$B$2,"MISMATCH","ok")))</f>
        <v/>
      </c>
      <c r="P46" s="9">
        <f>IF(C46="","",SUMIFS(Lines!$N$2:$N$500,Lines!$E$2:$E$500,C46,Lines!$A$2:$A$500,"total",Lines!$O$2:$O$500,"INSTALL"))</f>
        <v/>
      </c>
      <c r="Q46" s="9">
        <f>IF(C46="","",SUMIFS(Lines!$N$2:$N$500,Lines!$E$2:$E$500,C46,Lines!$A$2:$A$500,"line",Lines!$O$2:$O$500,"INSTALL"))</f>
        <v/>
      </c>
      <c r="R46" s="2">
        <f>IF(C46="","",IF(P46=0,"no stated total",IF(ABS(P46-Q46)&gt;Settings!$B$2,"MISMATCH","ok")))</f>
        <v/>
      </c>
      <c r="S46" s="9">
        <f>IF(C46="","",SUMIFS(Lines!$N$2:$N$500,Lines!$E$2:$E$500,C46,Lines!$A$2:$A$500,"total",Lines!$O$2:$O$500,"PRODUCT"))</f>
        <v/>
      </c>
      <c r="T46" s="9">
        <f>IF(C46="","",SUMIFS(Lines!$N$2:$N$500,Lines!$E$2:$E$500,C46,Lines!$A$2:$A$500,"line",Lines!$O$2:$O$500,"PRODUCT"))</f>
        <v/>
      </c>
      <c r="U46" s="2">
        <f>IF(C46="","",IF(S46=0,"no stated total",IF(ABS(S46-T46)&gt;Settings!$B$2,"MISMATCH","ok")))</f>
        <v/>
      </c>
      <c r="V46" s="9">
        <f>IF(C46="","",SUMIFS(Lines!$N$2:$N$500,Lines!$E$2:$E$500,C46,Lines!$A$2:$A$500,"total",Lines!$O$2:$O$500,"ALLOWANCE"))</f>
        <v/>
      </c>
      <c r="W46" s="9">
        <f>IF(C46="","",SUMIFS(Lines!$N$2:$N$500,Lines!$E$2:$E$500,C46,Lines!$A$2:$A$500,"line",Lines!$O$2:$O$500,"ALLOWANCE"))</f>
        <v/>
      </c>
      <c r="X46" s="2">
        <f>IF(C46="","",IF(V46=0,"no stated total",IF(ABS(V46-W46)&gt;Settings!$B$2,"MISMATCH","ok")))</f>
        <v/>
      </c>
      <c r="Y46" s="9">
        <f>IF(C46="","",SUMIFS(Lines!$N$2:$N$500,Lines!$E$2:$E$500,C46,Lines!$A$2:$A$500,"total",Lines!$O$2:$O$500,"GRAND"))</f>
        <v/>
      </c>
      <c r="Z46" s="9">
        <f>IF(C46="","",SUMIFS(Lines!$N$2:$N$500,Lines!$E$2:$E$500,C46,Lines!$A$2:$A$500,"line"))</f>
        <v/>
      </c>
      <c r="AA46" s="2">
        <f>IF(C46="","",IF(Y46=0,"no stated total",IF(ABS(Y46-Z46)&gt;Settings!$B$2,"MISMATCH","ok")))</f>
        <v/>
      </c>
      <c r="AB46" s="2">
        <f>IF(C46="","",COUNTIFS(Lines!$E$2:$E$500,C46,Lines!$A$2:$A$500,"coverage"))</f>
        <v/>
      </c>
      <c r="AC46" s="2">
        <f>IF(C46="","",IF(LEN(IF(O46="MISMATCH","lines do not sum to stated total (LABOUR_ALL); ","")&amp;IF(R46="MISMATCH","lines do not sum to stated total (INSTALL); ","")&amp;IF(U46="MISMATCH","lines do not sum to stated total (PRODUCT); ","")&amp;IF(X46="MISMATCH","lines do not sum to stated total (ALLOWANCE); ","")&amp;IF(AA46="MISMATCH","lines do not sum to grand total; ","")&amp;IF(OR(I46="1-"&amp;H46,AND(H46=1,I46="1")),"","pages not read; ")&amp;IF(K46="N","extracted without mapping table; ","")&amp;IF(AB46&gt;1,"document extracted twice; ",""))&gt;2,LEFT(IF(O46="MISMATCH","lines do not sum to stated total (LABOUR_ALL); ","")&amp;IF(R46="MISMATCH","lines do not sum to stated total (INSTALL); ","")&amp;IF(U46="MISMATCH","lines do not sum to stated total (PRODUCT); ","")&amp;IF(X46="MISMATCH","lines do not sum to stated total (ALLOWANCE); ","")&amp;IF(AA46="MISMATCH","lines do not sum to grand total; ","")&amp;IF(OR(I46="1-"&amp;H46,AND(H46=1,I46="1")),"","pages not read; ")&amp;IF(K46="N","extracted without mapping table; ","")&amp;IF(AB46&gt;1,"document extracted twice; ",""),LEN(IF(O46="MISMATCH","lines do not sum to stated total (LABOUR_ALL); ","")&amp;IF(R46="MISMATCH","lines do not sum to stated total (INSTALL); ","")&amp;IF(U46="MISMATCH","lines do not sum to stated total (PRODUCT); ","")&amp;IF(X46="MISMATCH","lines do not sum to stated total (ALLOWANCE); ","")&amp;IF(AA46="MISMATCH","lines do not sum to grand total; ","")&amp;IF(OR(I46="1-"&amp;H46,AND(H46=1,I46="1")),"","pages not read; ")&amp;IF(K46="N","extracted without mapping table; ","")&amp;IF(AB46&gt;1,"document extracted twice; ",""))-2),""))</f>
        <v/>
      </c>
      <c r="AD46" s="2">
        <f>IF(AC46&lt;&gt;"",MAX($AD$1:AD45)+1,"")</f>
        <v/>
      </c>
    </row>
    <row r="47">
      <c r="A47" s="2" t="n">
        <v>46</v>
      </c>
      <c r="B47" s="2">
        <f>IFERROR(MATCH(A47,Lines!$AF$2:$AF$500,0),"")</f>
        <v/>
      </c>
      <c r="C47" s="2">
        <f>IF(B47="","",INDEX(Lines!$E$2:$E$500,B47)&amp;"")</f>
        <v/>
      </c>
      <c r="D47" s="2">
        <f>IF(B47="","",INDEX(Lines!$B$2:$B$500,B47)&amp;"")</f>
        <v/>
      </c>
      <c r="E47" s="2">
        <f>IF(B47="","",INDEX(Lines!$C$2:$C$500,B47)&amp;"")</f>
        <v/>
      </c>
      <c r="F47" s="2">
        <f>IF(B47="","",INDEX(Lines!$D$2:$D$500,B47)&amp;"")</f>
        <v/>
      </c>
      <c r="G47" s="2">
        <f>IF(B47="","",INDEX(Lines!$F$2:$F$500,B47)&amp;"")</f>
        <v/>
      </c>
      <c r="H47" s="2">
        <f>IF(B47="","",INDEX(Lines!$R$2:$R$500,B47))</f>
        <v/>
      </c>
      <c r="I47" s="2">
        <f>IF(B47="","",INDEX(Lines!$S$2:$S$500,B47)&amp;"")</f>
        <v/>
      </c>
      <c r="J47" s="2">
        <f>IF(B47="","",INDEX(Lines!$T$2:$T$500,B47)&amp;"")</f>
        <v/>
      </c>
      <c r="K47" s="2">
        <f>IF(B47="","",INDEX(Lines!$U$2:$U$500,B47)&amp;"")</f>
        <v/>
      </c>
      <c r="L47" s="2">
        <f>IF(B47="","",INDEX(Lines!$V$2:$V$500,B47)&amp;"")</f>
        <v/>
      </c>
      <c r="M47" s="9">
        <f>IF(C47="","",SUMIFS(Lines!$N$2:$N$500,Lines!$E$2:$E$500,C47,Lines!$A$2:$A$500,"total",Lines!$X$2:$X$500,"LABOUR_ALL"))</f>
        <v/>
      </c>
      <c r="N47" s="9">
        <f>IF(C47="","",SUMIFS(Lines!$N$2:$N$500,Lines!$E$2:$E$500,C47,Lines!$A$2:$A$500,"line",Lines!$X$2:$X$500,"LABOUR_ALL"))</f>
        <v/>
      </c>
      <c r="O47" s="2">
        <f>IF(C47="","",IF(M47=0,"no stated total",IF(ABS(M47-N47)&gt;Settings!$B$2,"MISMATCH","ok")))</f>
        <v/>
      </c>
      <c r="P47" s="9">
        <f>IF(C47="","",SUMIFS(Lines!$N$2:$N$500,Lines!$E$2:$E$500,C47,Lines!$A$2:$A$500,"total",Lines!$O$2:$O$500,"INSTALL"))</f>
        <v/>
      </c>
      <c r="Q47" s="9">
        <f>IF(C47="","",SUMIFS(Lines!$N$2:$N$500,Lines!$E$2:$E$500,C47,Lines!$A$2:$A$500,"line",Lines!$O$2:$O$500,"INSTALL"))</f>
        <v/>
      </c>
      <c r="R47" s="2">
        <f>IF(C47="","",IF(P47=0,"no stated total",IF(ABS(P47-Q47)&gt;Settings!$B$2,"MISMATCH","ok")))</f>
        <v/>
      </c>
      <c r="S47" s="9">
        <f>IF(C47="","",SUMIFS(Lines!$N$2:$N$500,Lines!$E$2:$E$500,C47,Lines!$A$2:$A$500,"total",Lines!$O$2:$O$500,"PRODUCT"))</f>
        <v/>
      </c>
      <c r="T47" s="9">
        <f>IF(C47="","",SUMIFS(Lines!$N$2:$N$500,Lines!$E$2:$E$500,C47,Lines!$A$2:$A$500,"line",Lines!$O$2:$O$500,"PRODUCT"))</f>
        <v/>
      </c>
      <c r="U47" s="2">
        <f>IF(C47="","",IF(S47=0,"no stated total",IF(ABS(S47-T47)&gt;Settings!$B$2,"MISMATCH","ok")))</f>
        <v/>
      </c>
      <c r="V47" s="9">
        <f>IF(C47="","",SUMIFS(Lines!$N$2:$N$500,Lines!$E$2:$E$500,C47,Lines!$A$2:$A$500,"total",Lines!$O$2:$O$500,"ALLOWANCE"))</f>
        <v/>
      </c>
      <c r="W47" s="9">
        <f>IF(C47="","",SUMIFS(Lines!$N$2:$N$500,Lines!$E$2:$E$500,C47,Lines!$A$2:$A$500,"line",Lines!$O$2:$O$500,"ALLOWANCE"))</f>
        <v/>
      </c>
      <c r="X47" s="2">
        <f>IF(C47="","",IF(V47=0,"no stated total",IF(ABS(V47-W47)&gt;Settings!$B$2,"MISMATCH","ok")))</f>
        <v/>
      </c>
      <c r="Y47" s="9">
        <f>IF(C47="","",SUMIFS(Lines!$N$2:$N$500,Lines!$E$2:$E$500,C47,Lines!$A$2:$A$500,"total",Lines!$O$2:$O$500,"GRAND"))</f>
        <v/>
      </c>
      <c r="Z47" s="9">
        <f>IF(C47="","",SUMIFS(Lines!$N$2:$N$500,Lines!$E$2:$E$500,C47,Lines!$A$2:$A$500,"line"))</f>
        <v/>
      </c>
      <c r="AA47" s="2">
        <f>IF(C47="","",IF(Y47=0,"no stated total",IF(ABS(Y47-Z47)&gt;Settings!$B$2,"MISMATCH","ok")))</f>
        <v/>
      </c>
      <c r="AB47" s="2">
        <f>IF(C47="","",COUNTIFS(Lines!$E$2:$E$500,C47,Lines!$A$2:$A$500,"coverage"))</f>
        <v/>
      </c>
      <c r="AC47" s="2">
        <f>IF(C47="","",IF(LEN(IF(O47="MISMATCH","lines do not sum to stated total (LABOUR_ALL); ","")&amp;IF(R47="MISMATCH","lines do not sum to stated total (INSTALL); ","")&amp;IF(U47="MISMATCH","lines do not sum to stated total (PRODUCT); ","")&amp;IF(X47="MISMATCH","lines do not sum to stated total (ALLOWANCE); ","")&amp;IF(AA47="MISMATCH","lines do not sum to grand total; ","")&amp;IF(OR(I47="1-"&amp;H47,AND(H47=1,I47="1")),"","pages not read; ")&amp;IF(K47="N","extracted without mapping table; ","")&amp;IF(AB47&gt;1,"document extracted twice; ",""))&gt;2,LEFT(IF(O47="MISMATCH","lines do not sum to stated total (LABOUR_ALL); ","")&amp;IF(R47="MISMATCH","lines do not sum to stated total (INSTALL); ","")&amp;IF(U47="MISMATCH","lines do not sum to stated total (PRODUCT); ","")&amp;IF(X47="MISMATCH","lines do not sum to stated total (ALLOWANCE); ","")&amp;IF(AA47="MISMATCH","lines do not sum to grand total; ","")&amp;IF(OR(I47="1-"&amp;H47,AND(H47=1,I47="1")),"","pages not read; ")&amp;IF(K47="N","extracted without mapping table; ","")&amp;IF(AB47&gt;1,"document extracted twice; ",""),LEN(IF(O47="MISMATCH","lines do not sum to stated total (LABOUR_ALL); ","")&amp;IF(R47="MISMATCH","lines do not sum to stated total (INSTALL); ","")&amp;IF(U47="MISMATCH","lines do not sum to stated total (PRODUCT); ","")&amp;IF(X47="MISMATCH","lines do not sum to stated total (ALLOWANCE); ","")&amp;IF(AA47="MISMATCH","lines do not sum to grand total; ","")&amp;IF(OR(I47="1-"&amp;H47,AND(H47=1,I47="1")),"","pages not read; ")&amp;IF(K47="N","extracted without mapping table; ","")&amp;IF(AB47&gt;1,"document extracted twice; ",""))-2),""))</f>
        <v/>
      </c>
      <c r="AD47" s="2">
        <f>IF(AC47&lt;&gt;"",MAX($AD$1:AD46)+1,"")</f>
        <v/>
      </c>
    </row>
    <row r="48">
      <c r="A48" s="2" t="n">
        <v>47</v>
      </c>
      <c r="B48" s="2">
        <f>IFERROR(MATCH(A48,Lines!$AF$2:$AF$500,0),"")</f>
        <v/>
      </c>
      <c r="C48" s="2">
        <f>IF(B48="","",INDEX(Lines!$E$2:$E$500,B48)&amp;"")</f>
        <v/>
      </c>
      <c r="D48" s="2">
        <f>IF(B48="","",INDEX(Lines!$B$2:$B$500,B48)&amp;"")</f>
        <v/>
      </c>
      <c r="E48" s="2">
        <f>IF(B48="","",INDEX(Lines!$C$2:$C$500,B48)&amp;"")</f>
        <v/>
      </c>
      <c r="F48" s="2">
        <f>IF(B48="","",INDEX(Lines!$D$2:$D$500,B48)&amp;"")</f>
        <v/>
      </c>
      <c r="G48" s="2">
        <f>IF(B48="","",INDEX(Lines!$F$2:$F$500,B48)&amp;"")</f>
        <v/>
      </c>
      <c r="H48" s="2">
        <f>IF(B48="","",INDEX(Lines!$R$2:$R$500,B48))</f>
        <v/>
      </c>
      <c r="I48" s="2">
        <f>IF(B48="","",INDEX(Lines!$S$2:$S$500,B48)&amp;"")</f>
        <v/>
      </c>
      <c r="J48" s="2">
        <f>IF(B48="","",INDEX(Lines!$T$2:$T$500,B48)&amp;"")</f>
        <v/>
      </c>
      <c r="K48" s="2">
        <f>IF(B48="","",INDEX(Lines!$U$2:$U$500,B48)&amp;"")</f>
        <v/>
      </c>
      <c r="L48" s="2">
        <f>IF(B48="","",INDEX(Lines!$V$2:$V$500,B48)&amp;"")</f>
        <v/>
      </c>
      <c r="M48" s="9">
        <f>IF(C48="","",SUMIFS(Lines!$N$2:$N$500,Lines!$E$2:$E$500,C48,Lines!$A$2:$A$500,"total",Lines!$X$2:$X$500,"LABOUR_ALL"))</f>
        <v/>
      </c>
      <c r="N48" s="9">
        <f>IF(C48="","",SUMIFS(Lines!$N$2:$N$500,Lines!$E$2:$E$500,C48,Lines!$A$2:$A$500,"line",Lines!$X$2:$X$500,"LABOUR_ALL"))</f>
        <v/>
      </c>
      <c r="O48" s="2">
        <f>IF(C48="","",IF(M48=0,"no stated total",IF(ABS(M48-N48)&gt;Settings!$B$2,"MISMATCH","ok")))</f>
        <v/>
      </c>
      <c r="P48" s="9">
        <f>IF(C48="","",SUMIFS(Lines!$N$2:$N$500,Lines!$E$2:$E$500,C48,Lines!$A$2:$A$500,"total",Lines!$O$2:$O$500,"INSTALL"))</f>
        <v/>
      </c>
      <c r="Q48" s="9">
        <f>IF(C48="","",SUMIFS(Lines!$N$2:$N$500,Lines!$E$2:$E$500,C48,Lines!$A$2:$A$500,"line",Lines!$O$2:$O$500,"INSTALL"))</f>
        <v/>
      </c>
      <c r="R48" s="2">
        <f>IF(C48="","",IF(P48=0,"no stated total",IF(ABS(P48-Q48)&gt;Settings!$B$2,"MISMATCH","ok")))</f>
        <v/>
      </c>
      <c r="S48" s="9">
        <f>IF(C48="","",SUMIFS(Lines!$N$2:$N$500,Lines!$E$2:$E$500,C48,Lines!$A$2:$A$500,"total",Lines!$O$2:$O$500,"PRODUCT"))</f>
        <v/>
      </c>
      <c r="T48" s="9">
        <f>IF(C48="","",SUMIFS(Lines!$N$2:$N$500,Lines!$E$2:$E$500,C48,Lines!$A$2:$A$500,"line",Lines!$O$2:$O$500,"PRODUCT"))</f>
        <v/>
      </c>
      <c r="U48" s="2">
        <f>IF(C48="","",IF(S48=0,"no stated total",IF(ABS(S48-T48)&gt;Settings!$B$2,"MISMATCH","ok")))</f>
        <v/>
      </c>
      <c r="V48" s="9">
        <f>IF(C48="","",SUMIFS(Lines!$N$2:$N$500,Lines!$E$2:$E$500,C48,Lines!$A$2:$A$500,"total",Lines!$O$2:$O$500,"ALLOWANCE"))</f>
        <v/>
      </c>
      <c r="W48" s="9">
        <f>IF(C48="","",SUMIFS(Lines!$N$2:$N$500,Lines!$E$2:$E$500,C48,Lines!$A$2:$A$500,"line",Lines!$O$2:$O$500,"ALLOWANCE"))</f>
        <v/>
      </c>
      <c r="X48" s="2">
        <f>IF(C48="","",IF(V48=0,"no stated total",IF(ABS(V48-W48)&gt;Settings!$B$2,"MISMATCH","ok")))</f>
        <v/>
      </c>
      <c r="Y48" s="9">
        <f>IF(C48="","",SUMIFS(Lines!$N$2:$N$500,Lines!$E$2:$E$500,C48,Lines!$A$2:$A$500,"total",Lines!$O$2:$O$500,"GRAND"))</f>
        <v/>
      </c>
      <c r="Z48" s="9">
        <f>IF(C48="","",SUMIFS(Lines!$N$2:$N$500,Lines!$E$2:$E$500,C48,Lines!$A$2:$A$500,"line"))</f>
        <v/>
      </c>
      <c r="AA48" s="2">
        <f>IF(C48="","",IF(Y48=0,"no stated total",IF(ABS(Y48-Z48)&gt;Settings!$B$2,"MISMATCH","ok")))</f>
        <v/>
      </c>
      <c r="AB48" s="2">
        <f>IF(C48="","",COUNTIFS(Lines!$E$2:$E$500,C48,Lines!$A$2:$A$500,"coverage"))</f>
        <v/>
      </c>
      <c r="AC48" s="2">
        <f>IF(C48="","",IF(LEN(IF(O48="MISMATCH","lines do not sum to stated total (LABOUR_ALL); ","")&amp;IF(R48="MISMATCH","lines do not sum to stated total (INSTALL); ","")&amp;IF(U48="MISMATCH","lines do not sum to stated total (PRODUCT); ","")&amp;IF(X48="MISMATCH","lines do not sum to stated total (ALLOWANCE); ","")&amp;IF(AA48="MISMATCH","lines do not sum to grand total; ","")&amp;IF(OR(I48="1-"&amp;H48,AND(H48=1,I48="1")),"","pages not read; ")&amp;IF(K48="N","extracted without mapping table; ","")&amp;IF(AB48&gt;1,"document extracted twice; ",""))&gt;2,LEFT(IF(O48="MISMATCH","lines do not sum to stated total (LABOUR_ALL); ","")&amp;IF(R48="MISMATCH","lines do not sum to stated total (INSTALL); ","")&amp;IF(U48="MISMATCH","lines do not sum to stated total (PRODUCT); ","")&amp;IF(X48="MISMATCH","lines do not sum to stated total (ALLOWANCE); ","")&amp;IF(AA48="MISMATCH","lines do not sum to grand total; ","")&amp;IF(OR(I48="1-"&amp;H48,AND(H48=1,I48="1")),"","pages not read; ")&amp;IF(K48="N","extracted without mapping table; ","")&amp;IF(AB48&gt;1,"document extracted twice; ",""),LEN(IF(O48="MISMATCH","lines do not sum to stated total (LABOUR_ALL); ","")&amp;IF(R48="MISMATCH","lines do not sum to stated total (INSTALL); ","")&amp;IF(U48="MISMATCH","lines do not sum to stated total (PRODUCT); ","")&amp;IF(X48="MISMATCH","lines do not sum to stated total (ALLOWANCE); ","")&amp;IF(AA48="MISMATCH","lines do not sum to grand total; ","")&amp;IF(OR(I48="1-"&amp;H48,AND(H48=1,I48="1")),"","pages not read; ")&amp;IF(K48="N","extracted without mapping table; ","")&amp;IF(AB48&gt;1,"document extracted twice; ",""))-2),""))</f>
        <v/>
      </c>
      <c r="AD48" s="2">
        <f>IF(AC48&lt;&gt;"",MAX($AD$1:AD47)+1,"")</f>
        <v/>
      </c>
    </row>
    <row r="49">
      <c r="A49" s="2" t="n">
        <v>48</v>
      </c>
      <c r="B49" s="2">
        <f>IFERROR(MATCH(A49,Lines!$AF$2:$AF$500,0),"")</f>
        <v/>
      </c>
      <c r="C49" s="2">
        <f>IF(B49="","",INDEX(Lines!$E$2:$E$500,B49)&amp;"")</f>
        <v/>
      </c>
      <c r="D49" s="2">
        <f>IF(B49="","",INDEX(Lines!$B$2:$B$500,B49)&amp;"")</f>
        <v/>
      </c>
      <c r="E49" s="2">
        <f>IF(B49="","",INDEX(Lines!$C$2:$C$500,B49)&amp;"")</f>
        <v/>
      </c>
      <c r="F49" s="2">
        <f>IF(B49="","",INDEX(Lines!$D$2:$D$500,B49)&amp;"")</f>
        <v/>
      </c>
      <c r="G49" s="2">
        <f>IF(B49="","",INDEX(Lines!$F$2:$F$500,B49)&amp;"")</f>
        <v/>
      </c>
      <c r="H49" s="2">
        <f>IF(B49="","",INDEX(Lines!$R$2:$R$500,B49))</f>
        <v/>
      </c>
      <c r="I49" s="2">
        <f>IF(B49="","",INDEX(Lines!$S$2:$S$500,B49)&amp;"")</f>
        <v/>
      </c>
      <c r="J49" s="2">
        <f>IF(B49="","",INDEX(Lines!$T$2:$T$500,B49)&amp;"")</f>
        <v/>
      </c>
      <c r="K49" s="2">
        <f>IF(B49="","",INDEX(Lines!$U$2:$U$500,B49)&amp;"")</f>
        <v/>
      </c>
      <c r="L49" s="2">
        <f>IF(B49="","",INDEX(Lines!$V$2:$V$500,B49)&amp;"")</f>
        <v/>
      </c>
      <c r="M49" s="9">
        <f>IF(C49="","",SUMIFS(Lines!$N$2:$N$500,Lines!$E$2:$E$500,C49,Lines!$A$2:$A$500,"total",Lines!$X$2:$X$500,"LABOUR_ALL"))</f>
        <v/>
      </c>
      <c r="N49" s="9">
        <f>IF(C49="","",SUMIFS(Lines!$N$2:$N$500,Lines!$E$2:$E$500,C49,Lines!$A$2:$A$500,"line",Lines!$X$2:$X$500,"LABOUR_ALL"))</f>
        <v/>
      </c>
      <c r="O49" s="2">
        <f>IF(C49="","",IF(M49=0,"no stated total",IF(ABS(M49-N49)&gt;Settings!$B$2,"MISMATCH","ok")))</f>
        <v/>
      </c>
      <c r="P49" s="9">
        <f>IF(C49="","",SUMIFS(Lines!$N$2:$N$500,Lines!$E$2:$E$500,C49,Lines!$A$2:$A$500,"total",Lines!$O$2:$O$500,"INSTALL"))</f>
        <v/>
      </c>
      <c r="Q49" s="9">
        <f>IF(C49="","",SUMIFS(Lines!$N$2:$N$500,Lines!$E$2:$E$500,C49,Lines!$A$2:$A$500,"line",Lines!$O$2:$O$500,"INSTALL"))</f>
        <v/>
      </c>
      <c r="R49" s="2">
        <f>IF(C49="","",IF(P49=0,"no stated total",IF(ABS(P49-Q49)&gt;Settings!$B$2,"MISMATCH","ok")))</f>
        <v/>
      </c>
      <c r="S49" s="9">
        <f>IF(C49="","",SUMIFS(Lines!$N$2:$N$500,Lines!$E$2:$E$500,C49,Lines!$A$2:$A$500,"total",Lines!$O$2:$O$500,"PRODUCT"))</f>
        <v/>
      </c>
      <c r="T49" s="9">
        <f>IF(C49="","",SUMIFS(Lines!$N$2:$N$500,Lines!$E$2:$E$500,C49,Lines!$A$2:$A$500,"line",Lines!$O$2:$O$500,"PRODUCT"))</f>
        <v/>
      </c>
      <c r="U49" s="2">
        <f>IF(C49="","",IF(S49=0,"no stated total",IF(ABS(S49-T49)&gt;Settings!$B$2,"MISMATCH","ok")))</f>
        <v/>
      </c>
      <c r="V49" s="9">
        <f>IF(C49="","",SUMIFS(Lines!$N$2:$N$500,Lines!$E$2:$E$500,C49,Lines!$A$2:$A$500,"total",Lines!$O$2:$O$500,"ALLOWANCE"))</f>
        <v/>
      </c>
      <c r="W49" s="9">
        <f>IF(C49="","",SUMIFS(Lines!$N$2:$N$500,Lines!$E$2:$E$500,C49,Lines!$A$2:$A$500,"line",Lines!$O$2:$O$500,"ALLOWANCE"))</f>
        <v/>
      </c>
      <c r="X49" s="2">
        <f>IF(C49="","",IF(V49=0,"no stated total",IF(ABS(V49-W49)&gt;Settings!$B$2,"MISMATCH","ok")))</f>
        <v/>
      </c>
      <c r="Y49" s="9">
        <f>IF(C49="","",SUMIFS(Lines!$N$2:$N$500,Lines!$E$2:$E$500,C49,Lines!$A$2:$A$500,"total",Lines!$O$2:$O$500,"GRAND"))</f>
        <v/>
      </c>
      <c r="Z49" s="9">
        <f>IF(C49="","",SUMIFS(Lines!$N$2:$N$500,Lines!$E$2:$E$500,C49,Lines!$A$2:$A$500,"line"))</f>
        <v/>
      </c>
      <c r="AA49" s="2">
        <f>IF(C49="","",IF(Y49=0,"no stated total",IF(ABS(Y49-Z49)&gt;Settings!$B$2,"MISMATCH","ok")))</f>
        <v/>
      </c>
      <c r="AB49" s="2">
        <f>IF(C49="","",COUNTIFS(Lines!$E$2:$E$500,C49,Lines!$A$2:$A$500,"coverage"))</f>
        <v/>
      </c>
      <c r="AC49" s="2">
        <f>IF(C49="","",IF(LEN(IF(O49="MISMATCH","lines do not sum to stated total (LABOUR_ALL); ","")&amp;IF(R49="MISMATCH","lines do not sum to stated total (INSTALL); ","")&amp;IF(U49="MISMATCH","lines do not sum to stated total (PRODUCT); ","")&amp;IF(X49="MISMATCH","lines do not sum to stated total (ALLOWANCE); ","")&amp;IF(AA49="MISMATCH","lines do not sum to grand total; ","")&amp;IF(OR(I49="1-"&amp;H49,AND(H49=1,I49="1")),"","pages not read; ")&amp;IF(K49="N","extracted without mapping table; ","")&amp;IF(AB49&gt;1,"document extracted twice; ",""))&gt;2,LEFT(IF(O49="MISMATCH","lines do not sum to stated total (LABOUR_ALL); ","")&amp;IF(R49="MISMATCH","lines do not sum to stated total (INSTALL); ","")&amp;IF(U49="MISMATCH","lines do not sum to stated total (PRODUCT); ","")&amp;IF(X49="MISMATCH","lines do not sum to stated total (ALLOWANCE); ","")&amp;IF(AA49="MISMATCH","lines do not sum to grand total; ","")&amp;IF(OR(I49="1-"&amp;H49,AND(H49=1,I49="1")),"","pages not read; ")&amp;IF(K49="N","extracted without mapping table; ","")&amp;IF(AB49&gt;1,"document extracted twice; ",""),LEN(IF(O49="MISMATCH","lines do not sum to stated total (LABOUR_ALL); ","")&amp;IF(R49="MISMATCH","lines do not sum to stated total (INSTALL); ","")&amp;IF(U49="MISMATCH","lines do not sum to stated total (PRODUCT); ","")&amp;IF(X49="MISMATCH","lines do not sum to stated total (ALLOWANCE); ","")&amp;IF(AA49="MISMATCH","lines do not sum to grand total; ","")&amp;IF(OR(I49="1-"&amp;H49,AND(H49=1,I49="1")),"","pages not read; ")&amp;IF(K49="N","extracted without mapping table; ","")&amp;IF(AB49&gt;1,"document extracted twice; ",""))-2),""))</f>
        <v/>
      </c>
      <c r="AD49" s="2">
        <f>IF(AC49&lt;&gt;"",MAX($AD$1:AD48)+1,"")</f>
        <v/>
      </c>
    </row>
    <row r="50">
      <c r="A50" s="2" t="n">
        <v>49</v>
      </c>
      <c r="B50" s="2">
        <f>IFERROR(MATCH(A50,Lines!$AF$2:$AF$500,0),"")</f>
        <v/>
      </c>
      <c r="C50" s="2">
        <f>IF(B50="","",INDEX(Lines!$E$2:$E$500,B50)&amp;"")</f>
        <v/>
      </c>
      <c r="D50" s="2">
        <f>IF(B50="","",INDEX(Lines!$B$2:$B$500,B50)&amp;"")</f>
        <v/>
      </c>
      <c r="E50" s="2">
        <f>IF(B50="","",INDEX(Lines!$C$2:$C$500,B50)&amp;"")</f>
        <v/>
      </c>
      <c r="F50" s="2">
        <f>IF(B50="","",INDEX(Lines!$D$2:$D$500,B50)&amp;"")</f>
        <v/>
      </c>
      <c r="G50" s="2">
        <f>IF(B50="","",INDEX(Lines!$F$2:$F$500,B50)&amp;"")</f>
        <v/>
      </c>
      <c r="H50" s="2">
        <f>IF(B50="","",INDEX(Lines!$R$2:$R$500,B50))</f>
        <v/>
      </c>
      <c r="I50" s="2">
        <f>IF(B50="","",INDEX(Lines!$S$2:$S$500,B50)&amp;"")</f>
        <v/>
      </c>
      <c r="J50" s="2">
        <f>IF(B50="","",INDEX(Lines!$T$2:$T$500,B50)&amp;"")</f>
        <v/>
      </c>
      <c r="K50" s="2">
        <f>IF(B50="","",INDEX(Lines!$U$2:$U$500,B50)&amp;"")</f>
        <v/>
      </c>
      <c r="L50" s="2">
        <f>IF(B50="","",INDEX(Lines!$V$2:$V$500,B50)&amp;"")</f>
        <v/>
      </c>
      <c r="M50" s="9">
        <f>IF(C50="","",SUMIFS(Lines!$N$2:$N$500,Lines!$E$2:$E$500,C50,Lines!$A$2:$A$500,"total",Lines!$X$2:$X$500,"LABOUR_ALL"))</f>
        <v/>
      </c>
      <c r="N50" s="9">
        <f>IF(C50="","",SUMIFS(Lines!$N$2:$N$500,Lines!$E$2:$E$500,C50,Lines!$A$2:$A$500,"line",Lines!$X$2:$X$500,"LABOUR_ALL"))</f>
        <v/>
      </c>
      <c r="O50" s="2">
        <f>IF(C50="","",IF(M50=0,"no stated total",IF(ABS(M50-N50)&gt;Settings!$B$2,"MISMATCH","ok")))</f>
        <v/>
      </c>
      <c r="P50" s="9">
        <f>IF(C50="","",SUMIFS(Lines!$N$2:$N$500,Lines!$E$2:$E$500,C50,Lines!$A$2:$A$500,"total",Lines!$O$2:$O$500,"INSTALL"))</f>
        <v/>
      </c>
      <c r="Q50" s="9">
        <f>IF(C50="","",SUMIFS(Lines!$N$2:$N$500,Lines!$E$2:$E$500,C50,Lines!$A$2:$A$500,"line",Lines!$O$2:$O$500,"INSTALL"))</f>
        <v/>
      </c>
      <c r="R50" s="2">
        <f>IF(C50="","",IF(P50=0,"no stated total",IF(ABS(P50-Q50)&gt;Settings!$B$2,"MISMATCH","ok")))</f>
        <v/>
      </c>
      <c r="S50" s="9">
        <f>IF(C50="","",SUMIFS(Lines!$N$2:$N$500,Lines!$E$2:$E$500,C50,Lines!$A$2:$A$500,"total",Lines!$O$2:$O$500,"PRODUCT"))</f>
        <v/>
      </c>
      <c r="T50" s="9">
        <f>IF(C50="","",SUMIFS(Lines!$N$2:$N$500,Lines!$E$2:$E$500,C50,Lines!$A$2:$A$500,"line",Lines!$O$2:$O$500,"PRODUCT"))</f>
        <v/>
      </c>
      <c r="U50" s="2">
        <f>IF(C50="","",IF(S50=0,"no stated total",IF(ABS(S50-T50)&gt;Settings!$B$2,"MISMATCH","ok")))</f>
        <v/>
      </c>
      <c r="V50" s="9">
        <f>IF(C50="","",SUMIFS(Lines!$N$2:$N$500,Lines!$E$2:$E$500,C50,Lines!$A$2:$A$500,"total",Lines!$O$2:$O$500,"ALLOWANCE"))</f>
        <v/>
      </c>
      <c r="W50" s="9">
        <f>IF(C50="","",SUMIFS(Lines!$N$2:$N$500,Lines!$E$2:$E$500,C50,Lines!$A$2:$A$500,"line",Lines!$O$2:$O$500,"ALLOWANCE"))</f>
        <v/>
      </c>
      <c r="X50" s="2">
        <f>IF(C50="","",IF(V50=0,"no stated total",IF(ABS(V50-W50)&gt;Settings!$B$2,"MISMATCH","ok")))</f>
        <v/>
      </c>
      <c r="Y50" s="9">
        <f>IF(C50="","",SUMIFS(Lines!$N$2:$N$500,Lines!$E$2:$E$500,C50,Lines!$A$2:$A$500,"total",Lines!$O$2:$O$500,"GRAND"))</f>
        <v/>
      </c>
      <c r="Z50" s="9">
        <f>IF(C50="","",SUMIFS(Lines!$N$2:$N$500,Lines!$E$2:$E$500,C50,Lines!$A$2:$A$500,"line"))</f>
        <v/>
      </c>
      <c r="AA50" s="2">
        <f>IF(C50="","",IF(Y50=0,"no stated total",IF(ABS(Y50-Z50)&gt;Settings!$B$2,"MISMATCH","ok")))</f>
        <v/>
      </c>
      <c r="AB50" s="2">
        <f>IF(C50="","",COUNTIFS(Lines!$E$2:$E$500,C50,Lines!$A$2:$A$500,"coverage"))</f>
        <v/>
      </c>
      <c r="AC50" s="2">
        <f>IF(C50="","",IF(LEN(IF(O50="MISMATCH","lines do not sum to stated total (LABOUR_ALL); ","")&amp;IF(R50="MISMATCH","lines do not sum to stated total (INSTALL); ","")&amp;IF(U50="MISMATCH","lines do not sum to stated total (PRODUCT); ","")&amp;IF(X50="MISMATCH","lines do not sum to stated total (ALLOWANCE); ","")&amp;IF(AA50="MISMATCH","lines do not sum to grand total; ","")&amp;IF(OR(I50="1-"&amp;H50,AND(H50=1,I50="1")),"","pages not read; ")&amp;IF(K50="N","extracted without mapping table; ","")&amp;IF(AB50&gt;1,"document extracted twice; ",""))&gt;2,LEFT(IF(O50="MISMATCH","lines do not sum to stated total (LABOUR_ALL); ","")&amp;IF(R50="MISMATCH","lines do not sum to stated total (INSTALL); ","")&amp;IF(U50="MISMATCH","lines do not sum to stated total (PRODUCT); ","")&amp;IF(X50="MISMATCH","lines do not sum to stated total (ALLOWANCE); ","")&amp;IF(AA50="MISMATCH","lines do not sum to grand total; ","")&amp;IF(OR(I50="1-"&amp;H50,AND(H50=1,I50="1")),"","pages not read; ")&amp;IF(K50="N","extracted without mapping table; ","")&amp;IF(AB50&gt;1,"document extracted twice; ",""),LEN(IF(O50="MISMATCH","lines do not sum to stated total (LABOUR_ALL); ","")&amp;IF(R50="MISMATCH","lines do not sum to stated total (INSTALL); ","")&amp;IF(U50="MISMATCH","lines do not sum to stated total (PRODUCT); ","")&amp;IF(X50="MISMATCH","lines do not sum to stated total (ALLOWANCE); ","")&amp;IF(AA50="MISMATCH","lines do not sum to grand total; ","")&amp;IF(OR(I50="1-"&amp;H50,AND(H50=1,I50="1")),"","pages not read; ")&amp;IF(K50="N","extracted without mapping table; ","")&amp;IF(AB50&gt;1,"document extracted twice; ",""))-2),""))</f>
        <v/>
      </c>
      <c r="AD50" s="2">
        <f>IF(AC50&lt;&gt;"",MAX($AD$1:AD49)+1,"")</f>
        <v/>
      </c>
    </row>
    <row r="51">
      <c r="A51" s="2" t="n">
        <v>50</v>
      </c>
      <c r="B51" s="2">
        <f>IFERROR(MATCH(A51,Lines!$AF$2:$AF$500,0),"")</f>
        <v/>
      </c>
      <c r="C51" s="2">
        <f>IF(B51="","",INDEX(Lines!$E$2:$E$500,B51)&amp;"")</f>
        <v/>
      </c>
      <c r="D51" s="2">
        <f>IF(B51="","",INDEX(Lines!$B$2:$B$500,B51)&amp;"")</f>
        <v/>
      </c>
      <c r="E51" s="2">
        <f>IF(B51="","",INDEX(Lines!$C$2:$C$500,B51)&amp;"")</f>
        <v/>
      </c>
      <c r="F51" s="2">
        <f>IF(B51="","",INDEX(Lines!$D$2:$D$500,B51)&amp;"")</f>
        <v/>
      </c>
      <c r="G51" s="2">
        <f>IF(B51="","",INDEX(Lines!$F$2:$F$500,B51)&amp;"")</f>
        <v/>
      </c>
      <c r="H51" s="2">
        <f>IF(B51="","",INDEX(Lines!$R$2:$R$500,B51))</f>
        <v/>
      </c>
      <c r="I51" s="2">
        <f>IF(B51="","",INDEX(Lines!$S$2:$S$500,B51)&amp;"")</f>
        <v/>
      </c>
      <c r="J51" s="2">
        <f>IF(B51="","",INDEX(Lines!$T$2:$T$500,B51)&amp;"")</f>
        <v/>
      </c>
      <c r="K51" s="2">
        <f>IF(B51="","",INDEX(Lines!$U$2:$U$500,B51)&amp;"")</f>
        <v/>
      </c>
      <c r="L51" s="2">
        <f>IF(B51="","",INDEX(Lines!$V$2:$V$500,B51)&amp;"")</f>
        <v/>
      </c>
      <c r="M51" s="9">
        <f>IF(C51="","",SUMIFS(Lines!$N$2:$N$500,Lines!$E$2:$E$500,C51,Lines!$A$2:$A$500,"total",Lines!$X$2:$X$500,"LABOUR_ALL"))</f>
        <v/>
      </c>
      <c r="N51" s="9">
        <f>IF(C51="","",SUMIFS(Lines!$N$2:$N$500,Lines!$E$2:$E$500,C51,Lines!$A$2:$A$500,"line",Lines!$X$2:$X$500,"LABOUR_ALL"))</f>
        <v/>
      </c>
      <c r="O51" s="2">
        <f>IF(C51="","",IF(M51=0,"no stated total",IF(ABS(M51-N51)&gt;Settings!$B$2,"MISMATCH","ok")))</f>
        <v/>
      </c>
      <c r="P51" s="9">
        <f>IF(C51="","",SUMIFS(Lines!$N$2:$N$500,Lines!$E$2:$E$500,C51,Lines!$A$2:$A$500,"total",Lines!$O$2:$O$500,"INSTALL"))</f>
        <v/>
      </c>
      <c r="Q51" s="9">
        <f>IF(C51="","",SUMIFS(Lines!$N$2:$N$500,Lines!$E$2:$E$500,C51,Lines!$A$2:$A$500,"line",Lines!$O$2:$O$500,"INSTALL"))</f>
        <v/>
      </c>
      <c r="R51" s="2">
        <f>IF(C51="","",IF(P51=0,"no stated total",IF(ABS(P51-Q51)&gt;Settings!$B$2,"MISMATCH","ok")))</f>
        <v/>
      </c>
      <c r="S51" s="9">
        <f>IF(C51="","",SUMIFS(Lines!$N$2:$N$500,Lines!$E$2:$E$500,C51,Lines!$A$2:$A$500,"total",Lines!$O$2:$O$500,"PRODUCT"))</f>
        <v/>
      </c>
      <c r="T51" s="9">
        <f>IF(C51="","",SUMIFS(Lines!$N$2:$N$500,Lines!$E$2:$E$500,C51,Lines!$A$2:$A$500,"line",Lines!$O$2:$O$500,"PRODUCT"))</f>
        <v/>
      </c>
      <c r="U51" s="2">
        <f>IF(C51="","",IF(S51=0,"no stated total",IF(ABS(S51-T51)&gt;Settings!$B$2,"MISMATCH","ok")))</f>
        <v/>
      </c>
      <c r="V51" s="9">
        <f>IF(C51="","",SUMIFS(Lines!$N$2:$N$500,Lines!$E$2:$E$500,C51,Lines!$A$2:$A$500,"total",Lines!$O$2:$O$500,"ALLOWANCE"))</f>
        <v/>
      </c>
      <c r="W51" s="9">
        <f>IF(C51="","",SUMIFS(Lines!$N$2:$N$500,Lines!$E$2:$E$500,C51,Lines!$A$2:$A$500,"line",Lines!$O$2:$O$500,"ALLOWANCE"))</f>
        <v/>
      </c>
      <c r="X51" s="2">
        <f>IF(C51="","",IF(V51=0,"no stated total",IF(ABS(V51-W51)&gt;Settings!$B$2,"MISMATCH","ok")))</f>
        <v/>
      </c>
      <c r="Y51" s="9">
        <f>IF(C51="","",SUMIFS(Lines!$N$2:$N$500,Lines!$E$2:$E$500,C51,Lines!$A$2:$A$500,"total",Lines!$O$2:$O$500,"GRAND"))</f>
        <v/>
      </c>
      <c r="Z51" s="9">
        <f>IF(C51="","",SUMIFS(Lines!$N$2:$N$500,Lines!$E$2:$E$500,C51,Lines!$A$2:$A$500,"line"))</f>
        <v/>
      </c>
      <c r="AA51" s="2">
        <f>IF(C51="","",IF(Y51=0,"no stated total",IF(ABS(Y51-Z51)&gt;Settings!$B$2,"MISMATCH","ok")))</f>
        <v/>
      </c>
      <c r="AB51" s="2">
        <f>IF(C51="","",COUNTIFS(Lines!$E$2:$E$500,C51,Lines!$A$2:$A$500,"coverage"))</f>
        <v/>
      </c>
      <c r="AC51" s="2">
        <f>IF(C51="","",IF(LEN(IF(O51="MISMATCH","lines do not sum to stated total (LABOUR_ALL); ","")&amp;IF(R51="MISMATCH","lines do not sum to stated total (INSTALL); ","")&amp;IF(U51="MISMATCH","lines do not sum to stated total (PRODUCT); ","")&amp;IF(X51="MISMATCH","lines do not sum to stated total (ALLOWANCE); ","")&amp;IF(AA51="MISMATCH","lines do not sum to grand total; ","")&amp;IF(OR(I51="1-"&amp;H51,AND(H51=1,I51="1")),"","pages not read; ")&amp;IF(K51="N","extracted without mapping table; ","")&amp;IF(AB51&gt;1,"document extracted twice; ",""))&gt;2,LEFT(IF(O51="MISMATCH","lines do not sum to stated total (LABOUR_ALL); ","")&amp;IF(R51="MISMATCH","lines do not sum to stated total (INSTALL); ","")&amp;IF(U51="MISMATCH","lines do not sum to stated total (PRODUCT); ","")&amp;IF(X51="MISMATCH","lines do not sum to stated total (ALLOWANCE); ","")&amp;IF(AA51="MISMATCH","lines do not sum to grand total; ","")&amp;IF(OR(I51="1-"&amp;H51,AND(H51=1,I51="1")),"","pages not read; ")&amp;IF(K51="N","extracted without mapping table; ","")&amp;IF(AB51&gt;1,"document extracted twice; ",""),LEN(IF(O51="MISMATCH","lines do not sum to stated total (LABOUR_ALL); ","")&amp;IF(R51="MISMATCH","lines do not sum to stated total (INSTALL); ","")&amp;IF(U51="MISMATCH","lines do not sum to stated total (PRODUCT); ","")&amp;IF(X51="MISMATCH","lines do not sum to stated total (ALLOWANCE); ","")&amp;IF(AA51="MISMATCH","lines do not sum to grand total; ","")&amp;IF(OR(I51="1-"&amp;H51,AND(H51=1,I51="1")),"","pages not read; ")&amp;IF(K51="N","extracted without mapping table; ","")&amp;IF(AB51&gt;1,"document extracted twice; ",""))-2),""))</f>
        <v/>
      </c>
      <c r="AD51" s="2">
        <f>IF(AC51&lt;&gt;"",MAX($AD$1:AD50)+1,"")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51"/>
  <sheetViews>
    <sheetView workbookViewId="0">
      <pane ySplit="1" topLeftCell="A2" activePane="bottomLeft" state="frozen"/>
      <selection pane="bottomLeft" activeCell="A1" sqref="A1"/>
    </sheetView>
  </sheetViews>
  <sheetFormatPr baseColWidth="8" defaultRowHeight="15"/>
  <cols>
    <col width="5" customWidth="1" min="1" max="1"/>
    <col width="5" customWidth="1" min="2" max="2"/>
    <col width="14" customWidth="1" min="3" max="3"/>
    <col width="10" customWidth="1" min="4" max="4"/>
    <col width="12" customWidth="1" min="5" max="5"/>
    <col width="12" customWidth="1" min="6" max="6"/>
    <col width="12" customWidth="1" min="7" max="7"/>
    <col width="9" customWidth="1" min="8" max="8"/>
    <col width="12" customWidth="1" min="9" max="9"/>
    <col width="12" customWidth="1" min="10" max="10"/>
    <col width="12" customWidth="1" min="11" max="11"/>
    <col width="9" customWidth="1" min="12" max="12"/>
    <col width="12" customWidth="1" min="13" max="13"/>
    <col width="12" customWidth="1" min="14" max="14"/>
    <col width="12" customWidth="1" min="15" max="15"/>
    <col width="9" customWidth="1" min="16" max="16"/>
    <col width="12" customWidth="1" min="17" max="17"/>
    <col width="12" customWidth="1" min="18" max="18"/>
    <col width="12" customWidth="1" min="19" max="19"/>
    <col width="9" customWidth="1" min="20" max="20"/>
    <col width="8" customWidth="1" min="21" max="21"/>
    <col width="14" customWidth="1" min="22" max="22"/>
    <col width="90" customWidth="1" min="23" max="23"/>
  </cols>
  <sheetData>
    <row r="1">
      <c r="A1" s="5" t="inlineStr">
        <is>
          <t>seq</t>
        </is>
      </c>
      <c r="B1" s="5" t="inlineStr">
        <is>
          <t>row</t>
        </is>
      </c>
      <c r="C1" s="5" t="inlineStr">
        <is>
          <t>project</t>
        </is>
      </c>
      <c r="D1" s="5" t="inlineStr">
        <is>
          <t>vendor</t>
        </is>
      </c>
      <c r="E1" s="5" t="inlineStr">
        <is>
          <t>quoted_LABOUR_ALL</t>
        </is>
      </c>
      <c r="F1" s="5" t="inlineStr">
        <is>
          <t>invoiced_LABOUR_ALL</t>
        </is>
      </c>
      <c r="G1" s="5" t="inlineStr">
        <is>
          <t>variance_LABOUR_ALL</t>
        </is>
      </c>
      <c r="H1" s="5" t="inlineStr">
        <is>
          <t>variance_pct_LABOUR_ALL</t>
        </is>
      </c>
      <c r="I1" s="5" t="inlineStr">
        <is>
          <t>quoted_INSTALL</t>
        </is>
      </c>
      <c r="J1" s="5" t="inlineStr">
        <is>
          <t>invoiced_INSTALL</t>
        </is>
      </c>
      <c r="K1" s="5" t="inlineStr">
        <is>
          <t>variance_INSTALL</t>
        </is>
      </c>
      <c r="L1" s="5" t="inlineStr">
        <is>
          <t>variance_pct_INSTALL</t>
        </is>
      </c>
      <c r="M1" s="5" t="inlineStr">
        <is>
          <t>quoted_PRODUCT</t>
        </is>
      </c>
      <c r="N1" s="5" t="inlineStr">
        <is>
          <t>invoiced_PRODUCT</t>
        </is>
      </c>
      <c r="O1" s="5" t="inlineStr">
        <is>
          <t>variance_PRODUCT</t>
        </is>
      </c>
      <c r="P1" s="5" t="inlineStr">
        <is>
          <t>variance_pct_PRODUCT</t>
        </is>
      </c>
      <c r="Q1" s="5" t="inlineStr">
        <is>
          <t>quoted_ALLOWANCE</t>
        </is>
      </c>
      <c r="R1" s="5" t="inlineStr">
        <is>
          <t>invoiced_ALLOWANCE</t>
        </is>
      </c>
      <c r="S1" s="5" t="inlineStr">
        <is>
          <t>variance_ALLOWANCE</t>
        </is>
      </c>
      <c r="T1" s="5" t="inlineStr">
        <is>
          <t>variance_pct_ALLOWANCE</t>
        </is>
      </c>
      <c r="U1" s="5" t="inlineStr">
        <is>
          <t>invoice_count</t>
        </is>
      </c>
      <c r="V1" s="5" t="inlineStr">
        <is>
          <t>discrepancy</t>
        </is>
      </c>
      <c r="W1" s="5" t="inlineStr">
        <is>
          <t>notes</t>
        </is>
      </c>
    </row>
    <row r="2">
      <c r="A2" s="2" t="n">
        <v>1</v>
      </c>
      <c r="B2" s="2">
        <f>IFERROR(MATCH(A2,Lines!$AG$2:$AG$500,0),"")</f>
        <v/>
      </c>
      <c r="C2" s="2">
        <f>IF(B2="","",INDEX(Lines!$B$2:$B$500,B2))</f>
        <v/>
      </c>
      <c r="D2" s="2">
        <f>IF(B2="","",INDEX(Lines!$C$2:$C$500,B2))</f>
        <v/>
      </c>
      <c r="E2" s="9">
        <f>IF(C2="","",SUMIFS(Lines!$N$2:$N$500,Lines!$B$2:$B$500,C2,Lines!$C$2:$C$500,D2,Lines!$A$2:$A$500,"line",Lines!$X$2:$X$500,"LABOUR_ALL",Lines!$D$2:$D$500,"quote"))</f>
        <v/>
      </c>
      <c r="F2" s="9">
        <f>IF(C2="","",SUMIFS(Lines!$N$2:$N$500,Lines!$B$2:$B$500,C2,Lines!$C$2:$C$500,D2,Lines!$A$2:$A$500,"line",Lines!$X$2:$X$500,"LABOUR_ALL",Lines!$D$2:$D$500,"invoice"))</f>
        <v/>
      </c>
      <c r="G2" s="9">
        <f>IF(C2="","",F2-E2)</f>
        <v/>
      </c>
      <c r="H2" s="10">
        <f>IF(C2="","",IFERROR(G2/E2,""))</f>
        <v/>
      </c>
      <c r="I2" s="9">
        <f>IF(C2="","",SUMIFS(Lines!$N$2:$N$500,Lines!$B$2:$B$500,C2,Lines!$C$2:$C$500,D2,Lines!$A$2:$A$500,"line",Lines!$O$2:$O$500,"INSTALL",Lines!$D$2:$D$500,"quote"))</f>
        <v/>
      </c>
      <c r="J2" s="9">
        <f>IF(C2="","",SUMIFS(Lines!$N$2:$N$500,Lines!$B$2:$B$500,C2,Lines!$C$2:$C$500,D2,Lines!$A$2:$A$500,"line",Lines!$O$2:$O$500,"INSTALL",Lines!$D$2:$D$500,"invoice"))</f>
        <v/>
      </c>
      <c r="K2" s="9">
        <f>IF(C2="","",J2-I2)</f>
        <v/>
      </c>
      <c r="L2" s="10">
        <f>IF(C2="","",IFERROR(K2/I2,""))</f>
        <v/>
      </c>
      <c r="M2" s="9">
        <f>IF(C2="","",SUMIFS(Lines!$N$2:$N$500,Lines!$B$2:$B$500,C2,Lines!$C$2:$C$500,D2,Lines!$A$2:$A$500,"line",Lines!$O$2:$O$500,"PRODUCT",Lines!$D$2:$D$500,"quote"))</f>
        <v/>
      </c>
      <c r="N2" s="9">
        <f>IF(C2="","",SUMIFS(Lines!$N$2:$N$500,Lines!$B$2:$B$500,C2,Lines!$C$2:$C$500,D2,Lines!$A$2:$A$500,"line",Lines!$O$2:$O$500,"PRODUCT",Lines!$D$2:$D$500,"invoice"))</f>
        <v/>
      </c>
      <c r="O2" s="9">
        <f>IF(C2="","",N2-M2)</f>
        <v/>
      </c>
      <c r="P2" s="10">
        <f>IF(C2="","",IFERROR(O2/M2,""))</f>
        <v/>
      </c>
      <c r="Q2" s="9">
        <f>IF(C2="","",SUMIFS(Lines!$N$2:$N$500,Lines!$B$2:$B$500,C2,Lines!$C$2:$C$500,D2,Lines!$A$2:$A$500,"line",Lines!$O$2:$O$500,"ALLOWANCE",Lines!$D$2:$D$500,"quote"))</f>
        <v/>
      </c>
      <c r="R2" s="9">
        <f>IF(C2="","",SUMIFS(Lines!$N$2:$N$500,Lines!$B$2:$B$500,C2,Lines!$C$2:$C$500,D2,Lines!$A$2:$A$500,"line",Lines!$O$2:$O$500,"ALLOWANCE",Lines!$D$2:$D$500,"invoice"))</f>
        <v/>
      </c>
      <c r="S2" s="9">
        <f>IF(C2="","",R2-Q2)</f>
        <v/>
      </c>
      <c r="T2" s="10">
        <f>IF(C2="","",IFERROR(S2/Q2,""))</f>
        <v/>
      </c>
      <c r="U2" s="2">
        <f>IF(C2="","",COUNTIFS(Docs!$D$2:$D$51,C2,Docs!$E$2:$E$51,D2,Docs!$F$2:$F$51,"invoice"))</f>
        <v/>
      </c>
      <c r="V2" s="2">
        <f>IF(C2="","",IF(U2=0,"N/A - pending",IF(MAX(ABS(G2),ABS(K2),ABS(O2),ABS(S2))&gt;Settings!$B$2,"Y","N")))</f>
        <v/>
      </c>
      <c r="W2" s="2">
        <f>IF(C2="","",TRIM(IFERROR("LABOUR_ALL: "&amp;INDEX(Notes!$D$3:$D$52,MATCH(C2&amp;"|"&amp;D2&amp;"|LABOUR_ALL",Notes!$E$3:$E$52,0))&amp;" ","")&amp;IFERROR("INSTALL: "&amp;INDEX(Notes!$D$3:$D$52,MATCH(C2&amp;"|"&amp;D2&amp;"|INSTALL",Notes!$E$3:$E$52,0))&amp;" ","")&amp;IFERROR("PRODUCT: "&amp;INDEX(Notes!$D$3:$D$52,MATCH(C2&amp;"|"&amp;D2&amp;"|PRODUCT",Notes!$E$3:$E$52,0))&amp;" ","")&amp;IFERROR("ALLOWANCE: "&amp;INDEX(Notes!$D$3:$D$52,MATCH(C2&amp;"|"&amp;D2&amp;"|ALLOWANCE",Notes!$E$3:$E$52,0))&amp;" ","")))</f>
        <v/>
      </c>
    </row>
    <row r="3">
      <c r="A3" s="2" t="n">
        <v>2</v>
      </c>
      <c r="B3" s="2">
        <f>IFERROR(MATCH(A3,Lines!$AG$2:$AG$500,0),"")</f>
        <v/>
      </c>
      <c r="C3" s="2">
        <f>IF(B3="","",INDEX(Lines!$B$2:$B$500,B3))</f>
        <v/>
      </c>
      <c r="D3" s="2">
        <f>IF(B3="","",INDEX(Lines!$C$2:$C$500,B3))</f>
        <v/>
      </c>
      <c r="E3" s="9">
        <f>IF(C3="","",SUMIFS(Lines!$N$2:$N$500,Lines!$B$2:$B$500,C3,Lines!$C$2:$C$500,D3,Lines!$A$2:$A$500,"line",Lines!$X$2:$X$500,"LABOUR_ALL",Lines!$D$2:$D$500,"quote"))</f>
        <v/>
      </c>
      <c r="F3" s="9">
        <f>IF(C3="","",SUMIFS(Lines!$N$2:$N$500,Lines!$B$2:$B$500,C3,Lines!$C$2:$C$500,D3,Lines!$A$2:$A$500,"line",Lines!$X$2:$X$500,"LABOUR_ALL",Lines!$D$2:$D$500,"invoice"))</f>
        <v/>
      </c>
      <c r="G3" s="9">
        <f>IF(C3="","",F3-E3)</f>
        <v/>
      </c>
      <c r="H3" s="10">
        <f>IF(C3="","",IFERROR(G3/E3,""))</f>
        <v/>
      </c>
      <c r="I3" s="9">
        <f>IF(C3="","",SUMIFS(Lines!$N$2:$N$500,Lines!$B$2:$B$500,C3,Lines!$C$2:$C$500,D3,Lines!$A$2:$A$500,"line",Lines!$O$2:$O$500,"INSTALL",Lines!$D$2:$D$500,"quote"))</f>
        <v/>
      </c>
      <c r="J3" s="9">
        <f>IF(C3="","",SUMIFS(Lines!$N$2:$N$500,Lines!$B$2:$B$500,C3,Lines!$C$2:$C$500,D3,Lines!$A$2:$A$500,"line",Lines!$O$2:$O$500,"INSTALL",Lines!$D$2:$D$500,"invoice"))</f>
        <v/>
      </c>
      <c r="K3" s="9">
        <f>IF(C3="","",J3-I3)</f>
        <v/>
      </c>
      <c r="L3" s="10">
        <f>IF(C3="","",IFERROR(K3/I3,""))</f>
        <v/>
      </c>
      <c r="M3" s="9">
        <f>IF(C3="","",SUMIFS(Lines!$N$2:$N$500,Lines!$B$2:$B$500,C3,Lines!$C$2:$C$500,D3,Lines!$A$2:$A$500,"line",Lines!$O$2:$O$500,"PRODUCT",Lines!$D$2:$D$500,"quote"))</f>
        <v/>
      </c>
      <c r="N3" s="9">
        <f>IF(C3="","",SUMIFS(Lines!$N$2:$N$500,Lines!$B$2:$B$500,C3,Lines!$C$2:$C$500,D3,Lines!$A$2:$A$500,"line",Lines!$O$2:$O$500,"PRODUCT",Lines!$D$2:$D$500,"invoice"))</f>
        <v/>
      </c>
      <c r="O3" s="9">
        <f>IF(C3="","",N3-M3)</f>
        <v/>
      </c>
      <c r="P3" s="10">
        <f>IF(C3="","",IFERROR(O3/M3,""))</f>
        <v/>
      </c>
      <c r="Q3" s="9">
        <f>IF(C3="","",SUMIFS(Lines!$N$2:$N$500,Lines!$B$2:$B$500,C3,Lines!$C$2:$C$500,D3,Lines!$A$2:$A$500,"line",Lines!$O$2:$O$500,"ALLOWANCE",Lines!$D$2:$D$500,"quote"))</f>
        <v/>
      </c>
      <c r="R3" s="9">
        <f>IF(C3="","",SUMIFS(Lines!$N$2:$N$500,Lines!$B$2:$B$500,C3,Lines!$C$2:$C$500,D3,Lines!$A$2:$A$500,"line",Lines!$O$2:$O$500,"ALLOWANCE",Lines!$D$2:$D$500,"invoice"))</f>
        <v/>
      </c>
      <c r="S3" s="9">
        <f>IF(C3="","",R3-Q3)</f>
        <v/>
      </c>
      <c r="T3" s="10">
        <f>IF(C3="","",IFERROR(S3/Q3,""))</f>
        <v/>
      </c>
      <c r="U3" s="2">
        <f>IF(C3="","",COUNTIFS(Docs!$D$2:$D$51,C3,Docs!$E$2:$E$51,D3,Docs!$F$2:$F$51,"invoice"))</f>
        <v/>
      </c>
      <c r="V3" s="2">
        <f>IF(C3="","",IF(U3=0,"N/A - pending",IF(MAX(ABS(G3),ABS(K3),ABS(O3),ABS(S3))&gt;Settings!$B$2,"Y","N")))</f>
        <v/>
      </c>
      <c r="W3" s="2">
        <f>IF(C3="","",TRIM(IFERROR("LABOUR_ALL: "&amp;INDEX(Notes!$D$3:$D$52,MATCH(C3&amp;"|"&amp;D3&amp;"|LABOUR_ALL",Notes!$E$3:$E$52,0))&amp;" ","")&amp;IFERROR("INSTALL: "&amp;INDEX(Notes!$D$3:$D$52,MATCH(C3&amp;"|"&amp;D3&amp;"|INSTALL",Notes!$E$3:$E$52,0))&amp;" ","")&amp;IFERROR("PRODUCT: "&amp;INDEX(Notes!$D$3:$D$52,MATCH(C3&amp;"|"&amp;D3&amp;"|PRODUCT",Notes!$E$3:$E$52,0))&amp;" ","")&amp;IFERROR("ALLOWANCE: "&amp;INDEX(Notes!$D$3:$D$52,MATCH(C3&amp;"|"&amp;D3&amp;"|ALLOWANCE",Notes!$E$3:$E$52,0))&amp;" ","")))</f>
        <v/>
      </c>
    </row>
    <row r="4">
      <c r="A4" s="2" t="n">
        <v>3</v>
      </c>
      <c r="B4" s="2">
        <f>IFERROR(MATCH(A4,Lines!$AG$2:$AG$500,0),"")</f>
        <v/>
      </c>
      <c r="C4" s="2">
        <f>IF(B4="","",INDEX(Lines!$B$2:$B$500,B4))</f>
        <v/>
      </c>
      <c r="D4" s="2">
        <f>IF(B4="","",INDEX(Lines!$C$2:$C$500,B4))</f>
        <v/>
      </c>
      <c r="E4" s="9">
        <f>IF(C4="","",SUMIFS(Lines!$N$2:$N$500,Lines!$B$2:$B$500,C4,Lines!$C$2:$C$500,D4,Lines!$A$2:$A$500,"line",Lines!$X$2:$X$500,"LABOUR_ALL",Lines!$D$2:$D$500,"quote"))</f>
        <v/>
      </c>
      <c r="F4" s="9">
        <f>IF(C4="","",SUMIFS(Lines!$N$2:$N$500,Lines!$B$2:$B$500,C4,Lines!$C$2:$C$500,D4,Lines!$A$2:$A$500,"line",Lines!$X$2:$X$500,"LABOUR_ALL",Lines!$D$2:$D$500,"invoice"))</f>
        <v/>
      </c>
      <c r="G4" s="9">
        <f>IF(C4="","",F4-E4)</f>
        <v/>
      </c>
      <c r="H4" s="10">
        <f>IF(C4="","",IFERROR(G4/E4,""))</f>
        <v/>
      </c>
      <c r="I4" s="9">
        <f>IF(C4="","",SUMIFS(Lines!$N$2:$N$500,Lines!$B$2:$B$500,C4,Lines!$C$2:$C$500,D4,Lines!$A$2:$A$500,"line",Lines!$O$2:$O$500,"INSTALL",Lines!$D$2:$D$500,"quote"))</f>
        <v/>
      </c>
      <c r="J4" s="9">
        <f>IF(C4="","",SUMIFS(Lines!$N$2:$N$500,Lines!$B$2:$B$500,C4,Lines!$C$2:$C$500,D4,Lines!$A$2:$A$500,"line",Lines!$O$2:$O$500,"INSTALL",Lines!$D$2:$D$500,"invoice"))</f>
        <v/>
      </c>
      <c r="K4" s="9">
        <f>IF(C4="","",J4-I4)</f>
        <v/>
      </c>
      <c r="L4" s="10">
        <f>IF(C4="","",IFERROR(K4/I4,""))</f>
        <v/>
      </c>
      <c r="M4" s="9">
        <f>IF(C4="","",SUMIFS(Lines!$N$2:$N$500,Lines!$B$2:$B$500,C4,Lines!$C$2:$C$500,D4,Lines!$A$2:$A$500,"line",Lines!$O$2:$O$500,"PRODUCT",Lines!$D$2:$D$500,"quote"))</f>
        <v/>
      </c>
      <c r="N4" s="9">
        <f>IF(C4="","",SUMIFS(Lines!$N$2:$N$500,Lines!$B$2:$B$500,C4,Lines!$C$2:$C$500,D4,Lines!$A$2:$A$500,"line",Lines!$O$2:$O$500,"PRODUCT",Lines!$D$2:$D$500,"invoice"))</f>
        <v/>
      </c>
      <c r="O4" s="9">
        <f>IF(C4="","",N4-M4)</f>
        <v/>
      </c>
      <c r="P4" s="10">
        <f>IF(C4="","",IFERROR(O4/M4,""))</f>
        <v/>
      </c>
      <c r="Q4" s="9">
        <f>IF(C4="","",SUMIFS(Lines!$N$2:$N$500,Lines!$B$2:$B$500,C4,Lines!$C$2:$C$500,D4,Lines!$A$2:$A$500,"line",Lines!$O$2:$O$500,"ALLOWANCE",Lines!$D$2:$D$500,"quote"))</f>
        <v/>
      </c>
      <c r="R4" s="9">
        <f>IF(C4="","",SUMIFS(Lines!$N$2:$N$500,Lines!$B$2:$B$500,C4,Lines!$C$2:$C$500,D4,Lines!$A$2:$A$500,"line",Lines!$O$2:$O$500,"ALLOWANCE",Lines!$D$2:$D$500,"invoice"))</f>
        <v/>
      </c>
      <c r="S4" s="9">
        <f>IF(C4="","",R4-Q4)</f>
        <v/>
      </c>
      <c r="T4" s="10">
        <f>IF(C4="","",IFERROR(S4/Q4,""))</f>
        <v/>
      </c>
      <c r="U4" s="2">
        <f>IF(C4="","",COUNTIFS(Docs!$D$2:$D$51,C4,Docs!$E$2:$E$51,D4,Docs!$F$2:$F$51,"invoice"))</f>
        <v/>
      </c>
      <c r="V4" s="2">
        <f>IF(C4="","",IF(U4=0,"N/A - pending",IF(MAX(ABS(G4),ABS(K4),ABS(O4),ABS(S4))&gt;Settings!$B$2,"Y","N")))</f>
        <v/>
      </c>
      <c r="W4" s="2">
        <f>IF(C4="","",TRIM(IFERROR("LABOUR_ALL: "&amp;INDEX(Notes!$D$3:$D$52,MATCH(C4&amp;"|"&amp;D4&amp;"|LABOUR_ALL",Notes!$E$3:$E$52,0))&amp;" ","")&amp;IFERROR("INSTALL: "&amp;INDEX(Notes!$D$3:$D$52,MATCH(C4&amp;"|"&amp;D4&amp;"|INSTALL",Notes!$E$3:$E$52,0))&amp;" ","")&amp;IFERROR("PRODUCT: "&amp;INDEX(Notes!$D$3:$D$52,MATCH(C4&amp;"|"&amp;D4&amp;"|PRODUCT",Notes!$E$3:$E$52,0))&amp;" ","")&amp;IFERROR("ALLOWANCE: "&amp;INDEX(Notes!$D$3:$D$52,MATCH(C4&amp;"|"&amp;D4&amp;"|ALLOWANCE",Notes!$E$3:$E$52,0))&amp;" ","")))</f>
        <v/>
      </c>
    </row>
    <row r="5">
      <c r="A5" s="2" t="n">
        <v>4</v>
      </c>
      <c r="B5" s="2">
        <f>IFERROR(MATCH(A5,Lines!$AG$2:$AG$500,0),"")</f>
        <v/>
      </c>
      <c r="C5" s="2">
        <f>IF(B5="","",INDEX(Lines!$B$2:$B$500,B5))</f>
        <v/>
      </c>
      <c r="D5" s="2">
        <f>IF(B5="","",INDEX(Lines!$C$2:$C$500,B5))</f>
        <v/>
      </c>
      <c r="E5" s="9">
        <f>IF(C5="","",SUMIFS(Lines!$N$2:$N$500,Lines!$B$2:$B$500,C5,Lines!$C$2:$C$500,D5,Lines!$A$2:$A$500,"line",Lines!$X$2:$X$500,"LABOUR_ALL",Lines!$D$2:$D$500,"quote"))</f>
        <v/>
      </c>
      <c r="F5" s="9">
        <f>IF(C5="","",SUMIFS(Lines!$N$2:$N$500,Lines!$B$2:$B$500,C5,Lines!$C$2:$C$500,D5,Lines!$A$2:$A$500,"line",Lines!$X$2:$X$500,"LABOUR_ALL",Lines!$D$2:$D$500,"invoice"))</f>
        <v/>
      </c>
      <c r="G5" s="9">
        <f>IF(C5="","",F5-E5)</f>
        <v/>
      </c>
      <c r="H5" s="10">
        <f>IF(C5="","",IFERROR(G5/E5,""))</f>
        <v/>
      </c>
      <c r="I5" s="9">
        <f>IF(C5="","",SUMIFS(Lines!$N$2:$N$500,Lines!$B$2:$B$500,C5,Lines!$C$2:$C$500,D5,Lines!$A$2:$A$500,"line",Lines!$O$2:$O$500,"INSTALL",Lines!$D$2:$D$500,"quote"))</f>
        <v/>
      </c>
      <c r="J5" s="9">
        <f>IF(C5="","",SUMIFS(Lines!$N$2:$N$500,Lines!$B$2:$B$500,C5,Lines!$C$2:$C$500,D5,Lines!$A$2:$A$500,"line",Lines!$O$2:$O$500,"INSTALL",Lines!$D$2:$D$500,"invoice"))</f>
        <v/>
      </c>
      <c r="K5" s="9">
        <f>IF(C5="","",J5-I5)</f>
        <v/>
      </c>
      <c r="L5" s="10">
        <f>IF(C5="","",IFERROR(K5/I5,""))</f>
        <v/>
      </c>
      <c r="M5" s="9">
        <f>IF(C5="","",SUMIFS(Lines!$N$2:$N$500,Lines!$B$2:$B$500,C5,Lines!$C$2:$C$500,D5,Lines!$A$2:$A$500,"line",Lines!$O$2:$O$500,"PRODUCT",Lines!$D$2:$D$500,"quote"))</f>
        <v/>
      </c>
      <c r="N5" s="9">
        <f>IF(C5="","",SUMIFS(Lines!$N$2:$N$500,Lines!$B$2:$B$500,C5,Lines!$C$2:$C$500,D5,Lines!$A$2:$A$500,"line",Lines!$O$2:$O$500,"PRODUCT",Lines!$D$2:$D$500,"invoice"))</f>
        <v/>
      </c>
      <c r="O5" s="9">
        <f>IF(C5="","",N5-M5)</f>
        <v/>
      </c>
      <c r="P5" s="10">
        <f>IF(C5="","",IFERROR(O5/M5,""))</f>
        <v/>
      </c>
      <c r="Q5" s="9">
        <f>IF(C5="","",SUMIFS(Lines!$N$2:$N$500,Lines!$B$2:$B$500,C5,Lines!$C$2:$C$500,D5,Lines!$A$2:$A$500,"line",Lines!$O$2:$O$500,"ALLOWANCE",Lines!$D$2:$D$500,"quote"))</f>
        <v/>
      </c>
      <c r="R5" s="9">
        <f>IF(C5="","",SUMIFS(Lines!$N$2:$N$500,Lines!$B$2:$B$500,C5,Lines!$C$2:$C$500,D5,Lines!$A$2:$A$500,"line",Lines!$O$2:$O$500,"ALLOWANCE",Lines!$D$2:$D$500,"invoice"))</f>
        <v/>
      </c>
      <c r="S5" s="9">
        <f>IF(C5="","",R5-Q5)</f>
        <v/>
      </c>
      <c r="T5" s="10">
        <f>IF(C5="","",IFERROR(S5/Q5,""))</f>
        <v/>
      </c>
      <c r="U5" s="2">
        <f>IF(C5="","",COUNTIFS(Docs!$D$2:$D$51,C5,Docs!$E$2:$E$51,D5,Docs!$F$2:$F$51,"invoice"))</f>
        <v/>
      </c>
      <c r="V5" s="2">
        <f>IF(C5="","",IF(U5=0,"N/A - pending",IF(MAX(ABS(G5),ABS(K5),ABS(O5),ABS(S5))&gt;Settings!$B$2,"Y","N")))</f>
        <v/>
      </c>
      <c r="W5" s="2">
        <f>IF(C5="","",TRIM(IFERROR("LABOUR_ALL: "&amp;INDEX(Notes!$D$3:$D$52,MATCH(C5&amp;"|"&amp;D5&amp;"|LABOUR_ALL",Notes!$E$3:$E$52,0))&amp;" ","")&amp;IFERROR("INSTALL: "&amp;INDEX(Notes!$D$3:$D$52,MATCH(C5&amp;"|"&amp;D5&amp;"|INSTALL",Notes!$E$3:$E$52,0))&amp;" ","")&amp;IFERROR("PRODUCT: "&amp;INDEX(Notes!$D$3:$D$52,MATCH(C5&amp;"|"&amp;D5&amp;"|PRODUCT",Notes!$E$3:$E$52,0))&amp;" ","")&amp;IFERROR("ALLOWANCE: "&amp;INDEX(Notes!$D$3:$D$52,MATCH(C5&amp;"|"&amp;D5&amp;"|ALLOWANCE",Notes!$E$3:$E$52,0))&amp;" ","")))</f>
        <v/>
      </c>
    </row>
    <row r="6">
      <c r="A6" s="2" t="n">
        <v>5</v>
      </c>
      <c r="B6" s="2">
        <f>IFERROR(MATCH(A6,Lines!$AG$2:$AG$500,0),"")</f>
        <v/>
      </c>
      <c r="C6" s="2">
        <f>IF(B6="","",INDEX(Lines!$B$2:$B$500,B6))</f>
        <v/>
      </c>
      <c r="D6" s="2">
        <f>IF(B6="","",INDEX(Lines!$C$2:$C$500,B6))</f>
        <v/>
      </c>
      <c r="E6" s="9">
        <f>IF(C6="","",SUMIFS(Lines!$N$2:$N$500,Lines!$B$2:$B$500,C6,Lines!$C$2:$C$500,D6,Lines!$A$2:$A$500,"line",Lines!$X$2:$X$500,"LABOUR_ALL",Lines!$D$2:$D$500,"quote"))</f>
        <v/>
      </c>
      <c r="F6" s="9">
        <f>IF(C6="","",SUMIFS(Lines!$N$2:$N$500,Lines!$B$2:$B$500,C6,Lines!$C$2:$C$500,D6,Lines!$A$2:$A$500,"line",Lines!$X$2:$X$500,"LABOUR_ALL",Lines!$D$2:$D$500,"invoice"))</f>
        <v/>
      </c>
      <c r="G6" s="9">
        <f>IF(C6="","",F6-E6)</f>
        <v/>
      </c>
      <c r="H6" s="10">
        <f>IF(C6="","",IFERROR(G6/E6,""))</f>
        <v/>
      </c>
      <c r="I6" s="9">
        <f>IF(C6="","",SUMIFS(Lines!$N$2:$N$500,Lines!$B$2:$B$500,C6,Lines!$C$2:$C$500,D6,Lines!$A$2:$A$500,"line",Lines!$O$2:$O$500,"INSTALL",Lines!$D$2:$D$500,"quote"))</f>
        <v/>
      </c>
      <c r="J6" s="9">
        <f>IF(C6="","",SUMIFS(Lines!$N$2:$N$500,Lines!$B$2:$B$500,C6,Lines!$C$2:$C$500,D6,Lines!$A$2:$A$500,"line",Lines!$O$2:$O$500,"INSTALL",Lines!$D$2:$D$500,"invoice"))</f>
        <v/>
      </c>
      <c r="K6" s="9">
        <f>IF(C6="","",J6-I6)</f>
        <v/>
      </c>
      <c r="L6" s="10">
        <f>IF(C6="","",IFERROR(K6/I6,""))</f>
        <v/>
      </c>
      <c r="M6" s="9">
        <f>IF(C6="","",SUMIFS(Lines!$N$2:$N$500,Lines!$B$2:$B$500,C6,Lines!$C$2:$C$500,D6,Lines!$A$2:$A$500,"line",Lines!$O$2:$O$500,"PRODUCT",Lines!$D$2:$D$500,"quote"))</f>
        <v/>
      </c>
      <c r="N6" s="9">
        <f>IF(C6="","",SUMIFS(Lines!$N$2:$N$500,Lines!$B$2:$B$500,C6,Lines!$C$2:$C$500,D6,Lines!$A$2:$A$500,"line",Lines!$O$2:$O$500,"PRODUCT",Lines!$D$2:$D$500,"invoice"))</f>
        <v/>
      </c>
      <c r="O6" s="9">
        <f>IF(C6="","",N6-M6)</f>
        <v/>
      </c>
      <c r="P6" s="10">
        <f>IF(C6="","",IFERROR(O6/M6,""))</f>
        <v/>
      </c>
      <c r="Q6" s="9">
        <f>IF(C6="","",SUMIFS(Lines!$N$2:$N$500,Lines!$B$2:$B$500,C6,Lines!$C$2:$C$500,D6,Lines!$A$2:$A$500,"line",Lines!$O$2:$O$500,"ALLOWANCE",Lines!$D$2:$D$500,"quote"))</f>
        <v/>
      </c>
      <c r="R6" s="9">
        <f>IF(C6="","",SUMIFS(Lines!$N$2:$N$500,Lines!$B$2:$B$500,C6,Lines!$C$2:$C$500,D6,Lines!$A$2:$A$500,"line",Lines!$O$2:$O$500,"ALLOWANCE",Lines!$D$2:$D$500,"invoice"))</f>
        <v/>
      </c>
      <c r="S6" s="9">
        <f>IF(C6="","",R6-Q6)</f>
        <v/>
      </c>
      <c r="T6" s="10">
        <f>IF(C6="","",IFERROR(S6/Q6,""))</f>
        <v/>
      </c>
      <c r="U6" s="2">
        <f>IF(C6="","",COUNTIFS(Docs!$D$2:$D$51,C6,Docs!$E$2:$E$51,D6,Docs!$F$2:$F$51,"invoice"))</f>
        <v/>
      </c>
      <c r="V6" s="2">
        <f>IF(C6="","",IF(U6=0,"N/A - pending",IF(MAX(ABS(G6),ABS(K6),ABS(O6),ABS(S6))&gt;Settings!$B$2,"Y","N")))</f>
        <v/>
      </c>
      <c r="W6" s="2">
        <f>IF(C6="","",TRIM(IFERROR("LABOUR_ALL: "&amp;INDEX(Notes!$D$3:$D$52,MATCH(C6&amp;"|"&amp;D6&amp;"|LABOUR_ALL",Notes!$E$3:$E$52,0))&amp;" ","")&amp;IFERROR("INSTALL: "&amp;INDEX(Notes!$D$3:$D$52,MATCH(C6&amp;"|"&amp;D6&amp;"|INSTALL",Notes!$E$3:$E$52,0))&amp;" ","")&amp;IFERROR("PRODUCT: "&amp;INDEX(Notes!$D$3:$D$52,MATCH(C6&amp;"|"&amp;D6&amp;"|PRODUCT",Notes!$E$3:$E$52,0))&amp;" ","")&amp;IFERROR("ALLOWANCE: "&amp;INDEX(Notes!$D$3:$D$52,MATCH(C6&amp;"|"&amp;D6&amp;"|ALLOWANCE",Notes!$E$3:$E$52,0))&amp;" ","")))</f>
        <v/>
      </c>
    </row>
    <row r="7">
      <c r="A7" s="2" t="n">
        <v>6</v>
      </c>
      <c r="B7" s="2">
        <f>IFERROR(MATCH(A7,Lines!$AG$2:$AG$500,0),"")</f>
        <v/>
      </c>
      <c r="C7" s="2">
        <f>IF(B7="","",INDEX(Lines!$B$2:$B$500,B7))</f>
        <v/>
      </c>
      <c r="D7" s="2">
        <f>IF(B7="","",INDEX(Lines!$C$2:$C$500,B7))</f>
        <v/>
      </c>
      <c r="E7" s="9">
        <f>IF(C7="","",SUMIFS(Lines!$N$2:$N$500,Lines!$B$2:$B$500,C7,Lines!$C$2:$C$500,D7,Lines!$A$2:$A$500,"line",Lines!$X$2:$X$500,"LABOUR_ALL",Lines!$D$2:$D$500,"quote"))</f>
        <v/>
      </c>
      <c r="F7" s="9">
        <f>IF(C7="","",SUMIFS(Lines!$N$2:$N$500,Lines!$B$2:$B$500,C7,Lines!$C$2:$C$500,D7,Lines!$A$2:$A$500,"line",Lines!$X$2:$X$500,"LABOUR_ALL",Lines!$D$2:$D$500,"invoice"))</f>
        <v/>
      </c>
      <c r="G7" s="9">
        <f>IF(C7="","",F7-E7)</f>
        <v/>
      </c>
      <c r="H7" s="10">
        <f>IF(C7="","",IFERROR(G7/E7,""))</f>
        <v/>
      </c>
      <c r="I7" s="9">
        <f>IF(C7="","",SUMIFS(Lines!$N$2:$N$500,Lines!$B$2:$B$500,C7,Lines!$C$2:$C$500,D7,Lines!$A$2:$A$500,"line",Lines!$O$2:$O$500,"INSTALL",Lines!$D$2:$D$500,"quote"))</f>
        <v/>
      </c>
      <c r="J7" s="9">
        <f>IF(C7="","",SUMIFS(Lines!$N$2:$N$500,Lines!$B$2:$B$500,C7,Lines!$C$2:$C$500,D7,Lines!$A$2:$A$500,"line",Lines!$O$2:$O$500,"INSTALL",Lines!$D$2:$D$500,"invoice"))</f>
        <v/>
      </c>
      <c r="K7" s="9">
        <f>IF(C7="","",J7-I7)</f>
        <v/>
      </c>
      <c r="L7" s="10">
        <f>IF(C7="","",IFERROR(K7/I7,""))</f>
        <v/>
      </c>
      <c r="M7" s="9">
        <f>IF(C7="","",SUMIFS(Lines!$N$2:$N$500,Lines!$B$2:$B$500,C7,Lines!$C$2:$C$500,D7,Lines!$A$2:$A$500,"line",Lines!$O$2:$O$500,"PRODUCT",Lines!$D$2:$D$500,"quote"))</f>
        <v/>
      </c>
      <c r="N7" s="9">
        <f>IF(C7="","",SUMIFS(Lines!$N$2:$N$500,Lines!$B$2:$B$500,C7,Lines!$C$2:$C$500,D7,Lines!$A$2:$A$500,"line",Lines!$O$2:$O$500,"PRODUCT",Lines!$D$2:$D$500,"invoice"))</f>
        <v/>
      </c>
      <c r="O7" s="9">
        <f>IF(C7="","",N7-M7)</f>
        <v/>
      </c>
      <c r="P7" s="10">
        <f>IF(C7="","",IFERROR(O7/M7,""))</f>
        <v/>
      </c>
      <c r="Q7" s="9">
        <f>IF(C7="","",SUMIFS(Lines!$N$2:$N$500,Lines!$B$2:$B$500,C7,Lines!$C$2:$C$500,D7,Lines!$A$2:$A$500,"line",Lines!$O$2:$O$500,"ALLOWANCE",Lines!$D$2:$D$500,"quote"))</f>
        <v/>
      </c>
      <c r="R7" s="9">
        <f>IF(C7="","",SUMIFS(Lines!$N$2:$N$500,Lines!$B$2:$B$500,C7,Lines!$C$2:$C$500,D7,Lines!$A$2:$A$500,"line",Lines!$O$2:$O$500,"ALLOWANCE",Lines!$D$2:$D$500,"invoice"))</f>
        <v/>
      </c>
      <c r="S7" s="9">
        <f>IF(C7="","",R7-Q7)</f>
        <v/>
      </c>
      <c r="T7" s="10">
        <f>IF(C7="","",IFERROR(S7/Q7,""))</f>
        <v/>
      </c>
      <c r="U7" s="2">
        <f>IF(C7="","",COUNTIFS(Docs!$D$2:$D$51,C7,Docs!$E$2:$E$51,D7,Docs!$F$2:$F$51,"invoice"))</f>
        <v/>
      </c>
      <c r="V7" s="2">
        <f>IF(C7="","",IF(U7=0,"N/A - pending",IF(MAX(ABS(G7),ABS(K7),ABS(O7),ABS(S7))&gt;Settings!$B$2,"Y","N")))</f>
        <v/>
      </c>
      <c r="W7" s="2">
        <f>IF(C7="","",TRIM(IFERROR("LABOUR_ALL: "&amp;INDEX(Notes!$D$3:$D$52,MATCH(C7&amp;"|"&amp;D7&amp;"|LABOUR_ALL",Notes!$E$3:$E$52,0))&amp;" ","")&amp;IFERROR("INSTALL: "&amp;INDEX(Notes!$D$3:$D$52,MATCH(C7&amp;"|"&amp;D7&amp;"|INSTALL",Notes!$E$3:$E$52,0))&amp;" ","")&amp;IFERROR("PRODUCT: "&amp;INDEX(Notes!$D$3:$D$52,MATCH(C7&amp;"|"&amp;D7&amp;"|PRODUCT",Notes!$E$3:$E$52,0))&amp;" ","")&amp;IFERROR("ALLOWANCE: "&amp;INDEX(Notes!$D$3:$D$52,MATCH(C7&amp;"|"&amp;D7&amp;"|ALLOWANCE",Notes!$E$3:$E$52,0))&amp;" ","")))</f>
        <v/>
      </c>
    </row>
    <row r="8">
      <c r="A8" s="2" t="n">
        <v>7</v>
      </c>
      <c r="B8" s="2">
        <f>IFERROR(MATCH(A8,Lines!$AG$2:$AG$500,0),"")</f>
        <v/>
      </c>
      <c r="C8" s="2">
        <f>IF(B8="","",INDEX(Lines!$B$2:$B$500,B8))</f>
        <v/>
      </c>
      <c r="D8" s="2">
        <f>IF(B8="","",INDEX(Lines!$C$2:$C$500,B8))</f>
        <v/>
      </c>
      <c r="E8" s="9">
        <f>IF(C8="","",SUMIFS(Lines!$N$2:$N$500,Lines!$B$2:$B$500,C8,Lines!$C$2:$C$500,D8,Lines!$A$2:$A$500,"line",Lines!$X$2:$X$500,"LABOUR_ALL",Lines!$D$2:$D$500,"quote"))</f>
        <v/>
      </c>
      <c r="F8" s="9">
        <f>IF(C8="","",SUMIFS(Lines!$N$2:$N$500,Lines!$B$2:$B$500,C8,Lines!$C$2:$C$500,D8,Lines!$A$2:$A$500,"line",Lines!$X$2:$X$500,"LABOUR_ALL",Lines!$D$2:$D$500,"invoice"))</f>
        <v/>
      </c>
      <c r="G8" s="9">
        <f>IF(C8="","",F8-E8)</f>
        <v/>
      </c>
      <c r="H8" s="10">
        <f>IF(C8="","",IFERROR(G8/E8,""))</f>
        <v/>
      </c>
      <c r="I8" s="9">
        <f>IF(C8="","",SUMIFS(Lines!$N$2:$N$500,Lines!$B$2:$B$500,C8,Lines!$C$2:$C$500,D8,Lines!$A$2:$A$500,"line",Lines!$O$2:$O$500,"INSTALL",Lines!$D$2:$D$500,"quote"))</f>
        <v/>
      </c>
      <c r="J8" s="9">
        <f>IF(C8="","",SUMIFS(Lines!$N$2:$N$500,Lines!$B$2:$B$500,C8,Lines!$C$2:$C$500,D8,Lines!$A$2:$A$500,"line",Lines!$O$2:$O$500,"INSTALL",Lines!$D$2:$D$500,"invoice"))</f>
        <v/>
      </c>
      <c r="K8" s="9">
        <f>IF(C8="","",J8-I8)</f>
        <v/>
      </c>
      <c r="L8" s="10">
        <f>IF(C8="","",IFERROR(K8/I8,""))</f>
        <v/>
      </c>
      <c r="M8" s="9">
        <f>IF(C8="","",SUMIFS(Lines!$N$2:$N$500,Lines!$B$2:$B$500,C8,Lines!$C$2:$C$500,D8,Lines!$A$2:$A$500,"line",Lines!$O$2:$O$500,"PRODUCT",Lines!$D$2:$D$500,"quote"))</f>
        <v/>
      </c>
      <c r="N8" s="9">
        <f>IF(C8="","",SUMIFS(Lines!$N$2:$N$500,Lines!$B$2:$B$500,C8,Lines!$C$2:$C$500,D8,Lines!$A$2:$A$500,"line",Lines!$O$2:$O$500,"PRODUCT",Lines!$D$2:$D$500,"invoice"))</f>
        <v/>
      </c>
      <c r="O8" s="9">
        <f>IF(C8="","",N8-M8)</f>
        <v/>
      </c>
      <c r="P8" s="10">
        <f>IF(C8="","",IFERROR(O8/M8,""))</f>
        <v/>
      </c>
      <c r="Q8" s="9">
        <f>IF(C8="","",SUMIFS(Lines!$N$2:$N$500,Lines!$B$2:$B$500,C8,Lines!$C$2:$C$500,D8,Lines!$A$2:$A$500,"line",Lines!$O$2:$O$500,"ALLOWANCE",Lines!$D$2:$D$500,"quote"))</f>
        <v/>
      </c>
      <c r="R8" s="9">
        <f>IF(C8="","",SUMIFS(Lines!$N$2:$N$500,Lines!$B$2:$B$500,C8,Lines!$C$2:$C$500,D8,Lines!$A$2:$A$500,"line",Lines!$O$2:$O$500,"ALLOWANCE",Lines!$D$2:$D$500,"invoice"))</f>
        <v/>
      </c>
      <c r="S8" s="9">
        <f>IF(C8="","",R8-Q8)</f>
        <v/>
      </c>
      <c r="T8" s="10">
        <f>IF(C8="","",IFERROR(S8/Q8,""))</f>
        <v/>
      </c>
      <c r="U8" s="2">
        <f>IF(C8="","",COUNTIFS(Docs!$D$2:$D$51,C8,Docs!$E$2:$E$51,D8,Docs!$F$2:$F$51,"invoice"))</f>
        <v/>
      </c>
      <c r="V8" s="2">
        <f>IF(C8="","",IF(U8=0,"N/A - pending",IF(MAX(ABS(G8),ABS(K8),ABS(O8),ABS(S8))&gt;Settings!$B$2,"Y","N")))</f>
        <v/>
      </c>
      <c r="W8" s="2">
        <f>IF(C8="","",TRIM(IFERROR("LABOUR_ALL: "&amp;INDEX(Notes!$D$3:$D$52,MATCH(C8&amp;"|"&amp;D8&amp;"|LABOUR_ALL",Notes!$E$3:$E$52,0))&amp;" ","")&amp;IFERROR("INSTALL: "&amp;INDEX(Notes!$D$3:$D$52,MATCH(C8&amp;"|"&amp;D8&amp;"|INSTALL",Notes!$E$3:$E$52,0))&amp;" ","")&amp;IFERROR("PRODUCT: "&amp;INDEX(Notes!$D$3:$D$52,MATCH(C8&amp;"|"&amp;D8&amp;"|PRODUCT",Notes!$E$3:$E$52,0))&amp;" ","")&amp;IFERROR("ALLOWANCE: "&amp;INDEX(Notes!$D$3:$D$52,MATCH(C8&amp;"|"&amp;D8&amp;"|ALLOWANCE",Notes!$E$3:$E$52,0))&amp;" ","")))</f>
        <v/>
      </c>
    </row>
    <row r="9">
      <c r="A9" s="2" t="n">
        <v>8</v>
      </c>
      <c r="B9" s="2">
        <f>IFERROR(MATCH(A9,Lines!$AG$2:$AG$500,0),"")</f>
        <v/>
      </c>
      <c r="C9" s="2">
        <f>IF(B9="","",INDEX(Lines!$B$2:$B$500,B9))</f>
        <v/>
      </c>
      <c r="D9" s="2">
        <f>IF(B9="","",INDEX(Lines!$C$2:$C$500,B9))</f>
        <v/>
      </c>
      <c r="E9" s="9">
        <f>IF(C9="","",SUMIFS(Lines!$N$2:$N$500,Lines!$B$2:$B$500,C9,Lines!$C$2:$C$500,D9,Lines!$A$2:$A$500,"line",Lines!$X$2:$X$500,"LABOUR_ALL",Lines!$D$2:$D$500,"quote"))</f>
        <v/>
      </c>
      <c r="F9" s="9">
        <f>IF(C9="","",SUMIFS(Lines!$N$2:$N$500,Lines!$B$2:$B$500,C9,Lines!$C$2:$C$500,D9,Lines!$A$2:$A$500,"line",Lines!$X$2:$X$500,"LABOUR_ALL",Lines!$D$2:$D$500,"invoice"))</f>
        <v/>
      </c>
      <c r="G9" s="9">
        <f>IF(C9="","",F9-E9)</f>
        <v/>
      </c>
      <c r="H9" s="10">
        <f>IF(C9="","",IFERROR(G9/E9,""))</f>
        <v/>
      </c>
      <c r="I9" s="9">
        <f>IF(C9="","",SUMIFS(Lines!$N$2:$N$500,Lines!$B$2:$B$500,C9,Lines!$C$2:$C$500,D9,Lines!$A$2:$A$500,"line",Lines!$O$2:$O$500,"INSTALL",Lines!$D$2:$D$500,"quote"))</f>
        <v/>
      </c>
      <c r="J9" s="9">
        <f>IF(C9="","",SUMIFS(Lines!$N$2:$N$500,Lines!$B$2:$B$500,C9,Lines!$C$2:$C$500,D9,Lines!$A$2:$A$500,"line",Lines!$O$2:$O$500,"INSTALL",Lines!$D$2:$D$500,"invoice"))</f>
        <v/>
      </c>
      <c r="K9" s="9">
        <f>IF(C9="","",J9-I9)</f>
        <v/>
      </c>
      <c r="L9" s="10">
        <f>IF(C9="","",IFERROR(K9/I9,""))</f>
        <v/>
      </c>
      <c r="M9" s="9">
        <f>IF(C9="","",SUMIFS(Lines!$N$2:$N$500,Lines!$B$2:$B$500,C9,Lines!$C$2:$C$500,D9,Lines!$A$2:$A$500,"line",Lines!$O$2:$O$500,"PRODUCT",Lines!$D$2:$D$500,"quote"))</f>
        <v/>
      </c>
      <c r="N9" s="9">
        <f>IF(C9="","",SUMIFS(Lines!$N$2:$N$500,Lines!$B$2:$B$500,C9,Lines!$C$2:$C$500,D9,Lines!$A$2:$A$500,"line",Lines!$O$2:$O$500,"PRODUCT",Lines!$D$2:$D$500,"invoice"))</f>
        <v/>
      </c>
      <c r="O9" s="9">
        <f>IF(C9="","",N9-M9)</f>
        <v/>
      </c>
      <c r="P9" s="10">
        <f>IF(C9="","",IFERROR(O9/M9,""))</f>
        <v/>
      </c>
      <c r="Q9" s="9">
        <f>IF(C9="","",SUMIFS(Lines!$N$2:$N$500,Lines!$B$2:$B$500,C9,Lines!$C$2:$C$500,D9,Lines!$A$2:$A$500,"line",Lines!$O$2:$O$500,"ALLOWANCE",Lines!$D$2:$D$500,"quote"))</f>
        <v/>
      </c>
      <c r="R9" s="9">
        <f>IF(C9="","",SUMIFS(Lines!$N$2:$N$500,Lines!$B$2:$B$500,C9,Lines!$C$2:$C$500,D9,Lines!$A$2:$A$500,"line",Lines!$O$2:$O$500,"ALLOWANCE",Lines!$D$2:$D$500,"invoice"))</f>
        <v/>
      </c>
      <c r="S9" s="9">
        <f>IF(C9="","",R9-Q9)</f>
        <v/>
      </c>
      <c r="T9" s="10">
        <f>IF(C9="","",IFERROR(S9/Q9,""))</f>
        <v/>
      </c>
      <c r="U9" s="2">
        <f>IF(C9="","",COUNTIFS(Docs!$D$2:$D$51,C9,Docs!$E$2:$E$51,D9,Docs!$F$2:$F$51,"invoice"))</f>
        <v/>
      </c>
      <c r="V9" s="2">
        <f>IF(C9="","",IF(U9=0,"N/A - pending",IF(MAX(ABS(G9),ABS(K9),ABS(O9),ABS(S9))&gt;Settings!$B$2,"Y","N")))</f>
        <v/>
      </c>
      <c r="W9" s="2">
        <f>IF(C9="","",TRIM(IFERROR("LABOUR_ALL: "&amp;INDEX(Notes!$D$3:$D$52,MATCH(C9&amp;"|"&amp;D9&amp;"|LABOUR_ALL",Notes!$E$3:$E$52,0))&amp;" ","")&amp;IFERROR("INSTALL: "&amp;INDEX(Notes!$D$3:$D$52,MATCH(C9&amp;"|"&amp;D9&amp;"|INSTALL",Notes!$E$3:$E$52,0))&amp;" ","")&amp;IFERROR("PRODUCT: "&amp;INDEX(Notes!$D$3:$D$52,MATCH(C9&amp;"|"&amp;D9&amp;"|PRODUCT",Notes!$E$3:$E$52,0))&amp;" ","")&amp;IFERROR("ALLOWANCE: "&amp;INDEX(Notes!$D$3:$D$52,MATCH(C9&amp;"|"&amp;D9&amp;"|ALLOWANCE",Notes!$E$3:$E$52,0))&amp;" ","")))</f>
        <v/>
      </c>
    </row>
    <row r="10">
      <c r="A10" s="2" t="n">
        <v>9</v>
      </c>
      <c r="B10" s="2">
        <f>IFERROR(MATCH(A10,Lines!$AG$2:$AG$500,0),"")</f>
        <v/>
      </c>
      <c r="C10" s="2">
        <f>IF(B10="","",INDEX(Lines!$B$2:$B$500,B10))</f>
        <v/>
      </c>
      <c r="D10" s="2">
        <f>IF(B10="","",INDEX(Lines!$C$2:$C$500,B10))</f>
        <v/>
      </c>
      <c r="E10" s="9">
        <f>IF(C10="","",SUMIFS(Lines!$N$2:$N$500,Lines!$B$2:$B$500,C10,Lines!$C$2:$C$500,D10,Lines!$A$2:$A$500,"line",Lines!$X$2:$X$500,"LABOUR_ALL",Lines!$D$2:$D$500,"quote"))</f>
        <v/>
      </c>
      <c r="F10" s="9">
        <f>IF(C10="","",SUMIFS(Lines!$N$2:$N$500,Lines!$B$2:$B$500,C10,Lines!$C$2:$C$500,D10,Lines!$A$2:$A$500,"line",Lines!$X$2:$X$500,"LABOUR_ALL",Lines!$D$2:$D$500,"invoice"))</f>
        <v/>
      </c>
      <c r="G10" s="9">
        <f>IF(C10="","",F10-E10)</f>
        <v/>
      </c>
      <c r="H10" s="10">
        <f>IF(C10="","",IFERROR(G10/E10,""))</f>
        <v/>
      </c>
      <c r="I10" s="9">
        <f>IF(C10="","",SUMIFS(Lines!$N$2:$N$500,Lines!$B$2:$B$500,C10,Lines!$C$2:$C$500,D10,Lines!$A$2:$A$500,"line",Lines!$O$2:$O$500,"INSTALL",Lines!$D$2:$D$500,"quote"))</f>
        <v/>
      </c>
      <c r="J10" s="9">
        <f>IF(C10="","",SUMIFS(Lines!$N$2:$N$500,Lines!$B$2:$B$500,C10,Lines!$C$2:$C$500,D10,Lines!$A$2:$A$500,"line",Lines!$O$2:$O$500,"INSTALL",Lines!$D$2:$D$500,"invoice"))</f>
        <v/>
      </c>
      <c r="K10" s="9">
        <f>IF(C10="","",J10-I10)</f>
        <v/>
      </c>
      <c r="L10" s="10">
        <f>IF(C10="","",IFERROR(K10/I10,""))</f>
        <v/>
      </c>
      <c r="M10" s="9">
        <f>IF(C10="","",SUMIFS(Lines!$N$2:$N$500,Lines!$B$2:$B$500,C10,Lines!$C$2:$C$500,D10,Lines!$A$2:$A$500,"line",Lines!$O$2:$O$500,"PRODUCT",Lines!$D$2:$D$500,"quote"))</f>
        <v/>
      </c>
      <c r="N10" s="9">
        <f>IF(C10="","",SUMIFS(Lines!$N$2:$N$500,Lines!$B$2:$B$500,C10,Lines!$C$2:$C$500,D10,Lines!$A$2:$A$500,"line",Lines!$O$2:$O$500,"PRODUCT",Lines!$D$2:$D$500,"invoice"))</f>
        <v/>
      </c>
      <c r="O10" s="9">
        <f>IF(C10="","",N10-M10)</f>
        <v/>
      </c>
      <c r="P10" s="10">
        <f>IF(C10="","",IFERROR(O10/M10,""))</f>
        <v/>
      </c>
      <c r="Q10" s="9">
        <f>IF(C10="","",SUMIFS(Lines!$N$2:$N$500,Lines!$B$2:$B$500,C10,Lines!$C$2:$C$500,D10,Lines!$A$2:$A$500,"line",Lines!$O$2:$O$500,"ALLOWANCE",Lines!$D$2:$D$500,"quote"))</f>
        <v/>
      </c>
      <c r="R10" s="9">
        <f>IF(C10="","",SUMIFS(Lines!$N$2:$N$500,Lines!$B$2:$B$500,C10,Lines!$C$2:$C$500,D10,Lines!$A$2:$A$500,"line",Lines!$O$2:$O$500,"ALLOWANCE",Lines!$D$2:$D$500,"invoice"))</f>
        <v/>
      </c>
      <c r="S10" s="9">
        <f>IF(C10="","",R10-Q10)</f>
        <v/>
      </c>
      <c r="T10" s="10">
        <f>IF(C10="","",IFERROR(S10/Q10,""))</f>
        <v/>
      </c>
      <c r="U10" s="2">
        <f>IF(C10="","",COUNTIFS(Docs!$D$2:$D$51,C10,Docs!$E$2:$E$51,D10,Docs!$F$2:$F$51,"invoice"))</f>
        <v/>
      </c>
      <c r="V10" s="2">
        <f>IF(C10="","",IF(U10=0,"N/A - pending",IF(MAX(ABS(G10),ABS(K10),ABS(O10),ABS(S10))&gt;Settings!$B$2,"Y","N")))</f>
        <v/>
      </c>
      <c r="W10" s="2">
        <f>IF(C10="","",TRIM(IFERROR("LABOUR_ALL: "&amp;INDEX(Notes!$D$3:$D$52,MATCH(C10&amp;"|"&amp;D10&amp;"|LABOUR_ALL",Notes!$E$3:$E$52,0))&amp;" ","")&amp;IFERROR("INSTALL: "&amp;INDEX(Notes!$D$3:$D$52,MATCH(C10&amp;"|"&amp;D10&amp;"|INSTALL",Notes!$E$3:$E$52,0))&amp;" ","")&amp;IFERROR("PRODUCT: "&amp;INDEX(Notes!$D$3:$D$52,MATCH(C10&amp;"|"&amp;D10&amp;"|PRODUCT",Notes!$E$3:$E$52,0))&amp;" ","")&amp;IFERROR("ALLOWANCE: "&amp;INDEX(Notes!$D$3:$D$52,MATCH(C10&amp;"|"&amp;D10&amp;"|ALLOWANCE",Notes!$E$3:$E$52,0))&amp;" ","")))</f>
        <v/>
      </c>
    </row>
    <row r="11">
      <c r="A11" s="2" t="n">
        <v>10</v>
      </c>
      <c r="B11" s="2">
        <f>IFERROR(MATCH(A11,Lines!$AG$2:$AG$500,0),"")</f>
        <v/>
      </c>
      <c r="C11" s="2">
        <f>IF(B11="","",INDEX(Lines!$B$2:$B$500,B11))</f>
        <v/>
      </c>
      <c r="D11" s="2">
        <f>IF(B11="","",INDEX(Lines!$C$2:$C$500,B11))</f>
        <v/>
      </c>
      <c r="E11" s="9">
        <f>IF(C11="","",SUMIFS(Lines!$N$2:$N$500,Lines!$B$2:$B$500,C11,Lines!$C$2:$C$500,D11,Lines!$A$2:$A$500,"line",Lines!$X$2:$X$500,"LABOUR_ALL",Lines!$D$2:$D$500,"quote"))</f>
        <v/>
      </c>
      <c r="F11" s="9">
        <f>IF(C11="","",SUMIFS(Lines!$N$2:$N$500,Lines!$B$2:$B$500,C11,Lines!$C$2:$C$500,D11,Lines!$A$2:$A$500,"line",Lines!$X$2:$X$500,"LABOUR_ALL",Lines!$D$2:$D$500,"invoice"))</f>
        <v/>
      </c>
      <c r="G11" s="9">
        <f>IF(C11="","",F11-E11)</f>
        <v/>
      </c>
      <c r="H11" s="10">
        <f>IF(C11="","",IFERROR(G11/E11,""))</f>
        <v/>
      </c>
      <c r="I11" s="9">
        <f>IF(C11="","",SUMIFS(Lines!$N$2:$N$500,Lines!$B$2:$B$500,C11,Lines!$C$2:$C$500,D11,Lines!$A$2:$A$500,"line",Lines!$O$2:$O$500,"INSTALL",Lines!$D$2:$D$500,"quote"))</f>
        <v/>
      </c>
      <c r="J11" s="9">
        <f>IF(C11="","",SUMIFS(Lines!$N$2:$N$500,Lines!$B$2:$B$500,C11,Lines!$C$2:$C$500,D11,Lines!$A$2:$A$500,"line",Lines!$O$2:$O$500,"INSTALL",Lines!$D$2:$D$500,"invoice"))</f>
        <v/>
      </c>
      <c r="K11" s="9">
        <f>IF(C11="","",J11-I11)</f>
        <v/>
      </c>
      <c r="L11" s="10">
        <f>IF(C11="","",IFERROR(K11/I11,""))</f>
        <v/>
      </c>
      <c r="M11" s="9">
        <f>IF(C11="","",SUMIFS(Lines!$N$2:$N$500,Lines!$B$2:$B$500,C11,Lines!$C$2:$C$500,D11,Lines!$A$2:$A$500,"line",Lines!$O$2:$O$500,"PRODUCT",Lines!$D$2:$D$500,"quote"))</f>
        <v/>
      </c>
      <c r="N11" s="9">
        <f>IF(C11="","",SUMIFS(Lines!$N$2:$N$500,Lines!$B$2:$B$500,C11,Lines!$C$2:$C$500,D11,Lines!$A$2:$A$500,"line",Lines!$O$2:$O$500,"PRODUCT",Lines!$D$2:$D$500,"invoice"))</f>
        <v/>
      </c>
      <c r="O11" s="9">
        <f>IF(C11="","",N11-M11)</f>
        <v/>
      </c>
      <c r="P11" s="10">
        <f>IF(C11="","",IFERROR(O11/M11,""))</f>
        <v/>
      </c>
      <c r="Q11" s="9">
        <f>IF(C11="","",SUMIFS(Lines!$N$2:$N$500,Lines!$B$2:$B$500,C11,Lines!$C$2:$C$500,D11,Lines!$A$2:$A$500,"line",Lines!$O$2:$O$500,"ALLOWANCE",Lines!$D$2:$D$500,"quote"))</f>
        <v/>
      </c>
      <c r="R11" s="9">
        <f>IF(C11="","",SUMIFS(Lines!$N$2:$N$500,Lines!$B$2:$B$500,C11,Lines!$C$2:$C$500,D11,Lines!$A$2:$A$500,"line",Lines!$O$2:$O$500,"ALLOWANCE",Lines!$D$2:$D$500,"invoice"))</f>
        <v/>
      </c>
      <c r="S11" s="9">
        <f>IF(C11="","",R11-Q11)</f>
        <v/>
      </c>
      <c r="T11" s="10">
        <f>IF(C11="","",IFERROR(S11/Q11,""))</f>
        <v/>
      </c>
      <c r="U11" s="2">
        <f>IF(C11="","",COUNTIFS(Docs!$D$2:$D$51,C11,Docs!$E$2:$E$51,D11,Docs!$F$2:$F$51,"invoice"))</f>
        <v/>
      </c>
      <c r="V11" s="2">
        <f>IF(C11="","",IF(U11=0,"N/A - pending",IF(MAX(ABS(G11),ABS(K11),ABS(O11),ABS(S11))&gt;Settings!$B$2,"Y","N")))</f>
        <v/>
      </c>
      <c r="W11" s="2">
        <f>IF(C11="","",TRIM(IFERROR("LABOUR_ALL: "&amp;INDEX(Notes!$D$3:$D$52,MATCH(C11&amp;"|"&amp;D11&amp;"|LABOUR_ALL",Notes!$E$3:$E$52,0))&amp;" ","")&amp;IFERROR("INSTALL: "&amp;INDEX(Notes!$D$3:$D$52,MATCH(C11&amp;"|"&amp;D11&amp;"|INSTALL",Notes!$E$3:$E$52,0))&amp;" ","")&amp;IFERROR("PRODUCT: "&amp;INDEX(Notes!$D$3:$D$52,MATCH(C11&amp;"|"&amp;D11&amp;"|PRODUCT",Notes!$E$3:$E$52,0))&amp;" ","")&amp;IFERROR("ALLOWANCE: "&amp;INDEX(Notes!$D$3:$D$52,MATCH(C11&amp;"|"&amp;D11&amp;"|ALLOWANCE",Notes!$E$3:$E$52,0))&amp;" ","")))</f>
        <v/>
      </c>
    </row>
    <row r="12">
      <c r="A12" s="2" t="n">
        <v>11</v>
      </c>
      <c r="B12" s="2">
        <f>IFERROR(MATCH(A12,Lines!$AG$2:$AG$500,0),"")</f>
        <v/>
      </c>
      <c r="C12" s="2">
        <f>IF(B12="","",INDEX(Lines!$B$2:$B$500,B12))</f>
        <v/>
      </c>
      <c r="D12" s="2">
        <f>IF(B12="","",INDEX(Lines!$C$2:$C$500,B12))</f>
        <v/>
      </c>
      <c r="E12" s="9">
        <f>IF(C12="","",SUMIFS(Lines!$N$2:$N$500,Lines!$B$2:$B$500,C12,Lines!$C$2:$C$500,D12,Lines!$A$2:$A$500,"line",Lines!$X$2:$X$500,"LABOUR_ALL",Lines!$D$2:$D$500,"quote"))</f>
        <v/>
      </c>
      <c r="F12" s="9">
        <f>IF(C12="","",SUMIFS(Lines!$N$2:$N$500,Lines!$B$2:$B$500,C12,Lines!$C$2:$C$500,D12,Lines!$A$2:$A$500,"line",Lines!$X$2:$X$500,"LABOUR_ALL",Lines!$D$2:$D$500,"invoice"))</f>
        <v/>
      </c>
      <c r="G12" s="9">
        <f>IF(C12="","",F12-E12)</f>
        <v/>
      </c>
      <c r="H12" s="10">
        <f>IF(C12="","",IFERROR(G12/E12,""))</f>
        <v/>
      </c>
      <c r="I12" s="9">
        <f>IF(C12="","",SUMIFS(Lines!$N$2:$N$500,Lines!$B$2:$B$500,C12,Lines!$C$2:$C$500,D12,Lines!$A$2:$A$500,"line",Lines!$O$2:$O$500,"INSTALL",Lines!$D$2:$D$500,"quote"))</f>
        <v/>
      </c>
      <c r="J12" s="9">
        <f>IF(C12="","",SUMIFS(Lines!$N$2:$N$500,Lines!$B$2:$B$500,C12,Lines!$C$2:$C$500,D12,Lines!$A$2:$A$500,"line",Lines!$O$2:$O$500,"INSTALL",Lines!$D$2:$D$500,"invoice"))</f>
        <v/>
      </c>
      <c r="K12" s="9">
        <f>IF(C12="","",J12-I12)</f>
        <v/>
      </c>
      <c r="L12" s="10">
        <f>IF(C12="","",IFERROR(K12/I12,""))</f>
        <v/>
      </c>
      <c r="M12" s="9">
        <f>IF(C12="","",SUMIFS(Lines!$N$2:$N$500,Lines!$B$2:$B$500,C12,Lines!$C$2:$C$500,D12,Lines!$A$2:$A$500,"line",Lines!$O$2:$O$500,"PRODUCT",Lines!$D$2:$D$500,"quote"))</f>
        <v/>
      </c>
      <c r="N12" s="9">
        <f>IF(C12="","",SUMIFS(Lines!$N$2:$N$500,Lines!$B$2:$B$500,C12,Lines!$C$2:$C$500,D12,Lines!$A$2:$A$500,"line",Lines!$O$2:$O$500,"PRODUCT",Lines!$D$2:$D$500,"invoice"))</f>
        <v/>
      </c>
      <c r="O12" s="9">
        <f>IF(C12="","",N12-M12)</f>
        <v/>
      </c>
      <c r="P12" s="10">
        <f>IF(C12="","",IFERROR(O12/M12,""))</f>
        <v/>
      </c>
      <c r="Q12" s="9">
        <f>IF(C12="","",SUMIFS(Lines!$N$2:$N$500,Lines!$B$2:$B$500,C12,Lines!$C$2:$C$500,D12,Lines!$A$2:$A$500,"line",Lines!$O$2:$O$500,"ALLOWANCE",Lines!$D$2:$D$500,"quote"))</f>
        <v/>
      </c>
      <c r="R12" s="9">
        <f>IF(C12="","",SUMIFS(Lines!$N$2:$N$500,Lines!$B$2:$B$500,C12,Lines!$C$2:$C$500,D12,Lines!$A$2:$A$500,"line",Lines!$O$2:$O$500,"ALLOWANCE",Lines!$D$2:$D$500,"invoice"))</f>
        <v/>
      </c>
      <c r="S12" s="9">
        <f>IF(C12="","",R12-Q12)</f>
        <v/>
      </c>
      <c r="T12" s="10">
        <f>IF(C12="","",IFERROR(S12/Q12,""))</f>
        <v/>
      </c>
      <c r="U12" s="2">
        <f>IF(C12="","",COUNTIFS(Docs!$D$2:$D$51,C12,Docs!$E$2:$E$51,D12,Docs!$F$2:$F$51,"invoice"))</f>
        <v/>
      </c>
      <c r="V12" s="2">
        <f>IF(C12="","",IF(U12=0,"N/A - pending",IF(MAX(ABS(G12),ABS(K12),ABS(O12),ABS(S12))&gt;Settings!$B$2,"Y","N")))</f>
        <v/>
      </c>
      <c r="W12" s="2">
        <f>IF(C12="","",TRIM(IFERROR("LABOUR_ALL: "&amp;INDEX(Notes!$D$3:$D$52,MATCH(C12&amp;"|"&amp;D12&amp;"|LABOUR_ALL",Notes!$E$3:$E$52,0))&amp;" ","")&amp;IFERROR("INSTALL: "&amp;INDEX(Notes!$D$3:$D$52,MATCH(C12&amp;"|"&amp;D12&amp;"|INSTALL",Notes!$E$3:$E$52,0))&amp;" ","")&amp;IFERROR("PRODUCT: "&amp;INDEX(Notes!$D$3:$D$52,MATCH(C12&amp;"|"&amp;D12&amp;"|PRODUCT",Notes!$E$3:$E$52,0))&amp;" ","")&amp;IFERROR("ALLOWANCE: "&amp;INDEX(Notes!$D$3:$D$52,MATCH(C12&amp;"|"&amp;D12&amp;"|ALLOWANCE",Notes!$E$3:$E$52,0))&amp;" ","")))</f>
        <v/>
      </c>
    </row>
    <row r="13">
      <c r="A13" s="2" t="n">
        <v>12</v>
      </c>
      <c r="B13" s="2">
        <f>IFERROR(MATCH(A13,Lines!$AG$2:$AG$500,0),"")</f>
        <v/>
      </c>
      <c r="C13" s="2">
        <f>IF(B13="","",INDEX(Lines!$B$2:$B$500,B13))</f>
        <v/>
      </c>
      <c r="D13" s="2">
        <f>IF(B13="","",INDEX(Lines!$C$2:$C$500,B13))</f>
        <v/>
      </c>
      <c r="E13" s="9">
        <f>IF(C13="","",SUMIFS(Lines!$N$2:$N$500,Lines!$B$2:$B$500,C13,Lines!$C$2:$C$500,D13,Lines!$A$2:$A$500,"line",Lines!$X$2:$X$500,"LABOUR_ALL",Lines!$D$2:$D$500,"quote"))</f>
        <v/>
      </c>
      <c r="F13" s="9">
        <f>IF(C13="","",SUMIFS(Lines!$N$2:$N$500,Lines!$B$2:$B$500,C13,Lines!$C$2:$C$500,D13,Lines!$A$2:$A$500,"line",Lines!$X$2:$X$500,"LABOUR_ALL",Lines!$D$2:$D$500,"invoice"))</f>
        <v/>
      </c>
      <c r="G13" s="9">
        <f>IF(C13="","",F13-E13)</f>
        <v/>
      </c>
      <c r="H13" s="10">
        <f>IF(C13="","",IFERROR(G13/E13,""))</f>
        <v/>
      </c>
      <c r="I13" s="9">
        <f>IF(C13="","",SUMIFS(Lines!$N$2:$N$500,Lines!$B$2:$B$500,C13,Lines!$C$2:$C$500,D13,Lines!$A$2:$A$500,"line",Lines!$O$2:$O$500,"INSTALL",Lines!$D$2:$D$500,"quote"))</f>
        <v/>
      </c>
      <c r="J13" s="9">
        <f>IF(C13="","",SUMIFS(Lines!$N$2:$N$500,Lines!$B$2:$B$500,C13,Lines!$C$2:$C$500,D13,Lines!$A$2:$A$500,"line",Lines!$O$2:$O$500,"INSTALL",Lines!$D$2:$D$500,"invoice"))</f>
        <v/>
      </c>
      <c r="K13" s="9">
        <f>IF(C13="","",J13-I13)</f>
        <v/>
      </c>
      <c r="L13" s="10">
        <f>IF(C13="","",IFERROR(K13/I13,""))</f>
        <v/>
      </c>
      <c r="M13" s="9">
        <f>IF(C13="","",SUMIFS(Lines!$N$2:$N$500,Lines!$B$2:$B$500,C13,Lines!$C$2:$C$500,D13,Lines!$A$2:$A$500,"line",Lines!$O$2:$O$500,"PRODUCT",Lines!$D$2:$D$500,"quote"))</f>
        <v/>
      </c>
      <c r="N13" s="9">
        <f>IF(C13="","",SUMIFS(Lines!$N$2:$N$500,Lines!$B$2:$B$500,C13,Lines!$C$2:$C$500,D13,Lines!$A$2:$A$500,"line",Lines!$O$2:$O$500,"PRODUCT",Lines!$D$2:$D$500,"invoice"))</f>
        <v/>
      </c>
      <c r="O13" s="9">
        <f>IF(C13="","",N13-M13)</f>
        <v/>
      </c>
      <c r="P13" s="10">
        <f>IF(C13="","",IFERROR(O13/M13,""))</f>
        <v/>
      </c>
      <c r="Q13" s="9">
        <f>IF(C13="","",SUMIFS(Lines!$N$2:$N$500,Lines!$B$2:$B$500,C13,Lines!$C$2:$C$500,D13,Lines!$A$2:$A$500,"line",Lines!$O$2:$O$500,"ALLOWANCE",Lines!$D$2:$D$500,"quote"))</f>
        <v/>
      </c>
      <c r="R13" s="9">
        <f>IF(C13="","",SUMIFS(Lines!$N$2:$N$500,Lines!$B$2:$B$500,C13,Lines!$C$2:$C$500,D13,Lines!$A$2:$A$500,"line",Lines!$O$2:$O$500,"ALLOWANCE",Lines!$D$2:$D$500,"invoice"))</f>
        <v/>
      </c>
      <c r="S13" s="9">
        <f>IF(C13="","",R13-Q13)</f>
        <v/>
      </c>
      <c r="T13" s="10">
        <f>IF(C13="","",IFERROR(S13/Q13,""))</f>
        <v/>
      </c>
      <c r="U13" s="2">
        <f>IF(C13="","",COUNTIFS(Docs!$D$2:$D$51,C13,Docs!$E$2:$E$51,D13,Docs!$F$2:$F$51,"invoice"))</f>
        <v/>
      </c>
      <c r="V13" s="2">
        <f>IF(C13="","",IF(U13=0,"N/A - pending",IF(MAX(ABS(G13),ABS(K13),ABS(O13),ABS(S13))&gt;Settings!$B$2,"Y","N")))</f>
        <v/>
      </c>
      <c r="W13" s="2">
        <f>IF(C13="","",TRIM(IFERROR("LABOUR_ALL: "&amp;INDEX(Notes!$D$3:$D$52,MATCH(C13&amp;"|"&amp;D13&amp;"|LABOUR_ALL",Notes!$E$3:$E$52,0))&amp;" ","")&amp;IFERROR("INSTALL: "&amp;INDEX(Notes!$D$3:$D$52,MATCH(C13&amp;"|"&amp;D13&amp;"|INSTALL",Notes!$E$3:$E$52,0))&amp;" ","")&amp;IFERROR("PRODUCT: "&amp;INDEX(Notes!$D$3:$D$52,MATCH(C13&amp;"|"&amp;D13&amp;"|PRODUCT",Notes!$E$3:$E$52,0))&amp;" ","")&amp;IFERROR("ALLOWANCE: "&amp;INDEX(Notes!$D$3:$D$52,MATCH(C13&amp;"|"&amp;D13&amp;"|ALLOWANCE",Notes!$E$3:$E$52,0))&amp;" ","")))</f>
        <v/>
      </c>
    </row>
    <row r="14">
      <c r="A14" s="2" t="n">
        <v>13</v>
      </c>
      <c r="B14" s="2">
        <f>IFERROR(MATCH(A14,Lines!$AG$2:$AG$500,0),"")</f>
        <v/>
      </c>
      <c r="C14" s="2">
        <f>IF(B14="","",INDEX(Lines!$B$2:$B$500,B14))</f>
        <v/>
      </c>
      <c r="D14" s="2">
        <f>IF(B14="","",INDEX(Lines!$C$2:$C$500,B14))</f>
        <v/>
      </c>
      <c r="E14" s="9">
        <f>IF(C14="","",SUMIFS(Lines!$N$2:$N$500,Lines!$B$2:$B$500,C14,Lines!$C$2:$C$500,D14,Lines!$A$2:$A$500,"line",Lines!$X$2:$X$500,"LABOUR_ALL",Lines!$D$2:$D$500,"quote"))</f>
        <v/>
      </c>
      <c r="F14" s="9">
        <f>IF(C14="","",SUMIFS(Lines!$N$2:$N$500,Lines!$B$2:$B$500,C14,Lines!$C$2:$C$500,D14,Lines!$A$2:$A$500,"line",Lines!$X$2:$X$500,"LABOUR_ALL",Lines!$D$2:$D$500,"invoice"))</f>
        <v/>
      </c>
      <c r="G14" s="9">
        <f>IF(C14="","",F14-E14)</f>
        <v/>
      </c>
      <c r="H14" s="10">
        <f>IF(C14="","",IFERROR(G14/E14,""))</f>
        <v/>
      </c>
      <c r="I14" s="9">
        <f>IF(C14="","",SUMIFS(Lines!$N$2:$N$500,Lines!$B$2:$B$500,C14,Lines!$C$2:$C$500,D14,Lines!$A$2:$A$500,"line",Lines!$O$2:$O$500,"INSTALL",Lines!$D$2:$D$500,"quote"))</f>
        <v/>
      </c>
      <c r="J14" s="9">
        <f>IF(C14="","",SUMIFS(Lines!$N$2:$N$500,Lines!$B$2:$B$500,C14,Lines!$C$2:$C$500,D14,Lines!$A$2:$A$500,"line",Lines!$O$2:$O$500,"INSTALL",Lines!$D$2:$D$500,"invoice"))</f>
        <v/>
      </c>
      <c r="K14" s="9">
        <f>IF(C14="","",J14-I14)</f>
        <v/>
      </c>
      <c r="L14" s="10">
        <f>IF(C14="","",IFERROR(K14/I14,""))</f>
        <v/>
      </c>
      <c r="M14" s="9">
        <f>IF(C14="","",SUMIFS(Lines!$N$2:$N$500,Lines!$B$2:$B$500,C14,Lines!$C$2:$C$500,D14,Lines!$A$2:$A$500,"line",Lines!$O$2:$O$500,"PRODUCT",Lines!$D$2:$D$500,"quote"))</f>
        <v/>
      </c>
      <c r="N14" s="9">
        <f>IF(C14="","",SUMIFS(Lines!$N$2:$N$500,Lines!$B$2:$B$500,C14,Lines!$C$2:$C$500,D14,Lines!$A$2:$A$500,"line",Lines!$O$2:$O$500,"PRODUCT",Lines!$D$2:$D$500,"invoice"))</f>
        <v/>
      </c>
      <c r="O14" s="9">
        <f>IF(C14="","",N14-M14)</f>
        <v/>
      </c>
      <c r="P14" s="10">
        <f>IF(C14="","",IFERROR(O14/M14,""))</f>
        <v/>
      </c>
      <c r="Q14" s="9">
        <f>IF(C14="","",SUMIFS(Lines!$N$2:$N$500,Lines!$B$2:$B$500,C14,Lines!$C$2:$C$500,D14,Lines!$A$2:$A$500,"line",Lines!$O$2:$O$500,"ALLOWANCE",Lines!$D$2:$D$500,"quote"))</f>
        <v/>
      </c>
      <c r="R14" s="9">
        <f>IF(C14="","",SUMIFS(Lines!$N$2:$N$500,Lines!$B$2:$B$500,C14,Lines!$C$2:$C$500,D14,Lines!$A$2:$A$500,"line",Lines!$O$2:$O$500,"ALLOWANCE",Lines!$D$2:$D$500,"invoice"))</f>
        <v/>
      </c>
      <c r="S14" s="9">
        <f>IF(C14="","",R14-Q14)</f>
        <v/>
      </c>
      <c r="T14" s="10">
        <f>IF(C14="","",IFERROR(S14/Q14,""))</f>
        <v/>
      </c>
      <c r="U14" s="2">
        <f>IF(C14="","",COUNTIFS(Docs!$D$2:$D$51,C14,Docs!$E$2:$E$51,D14,Docs!$F$2:$F$51,"invoice"))</f>
        <v/>
      </c>
      <c r="V14" s="2">
        <f>IF(C14="","",IF(U14=0,"N/A - pending",IF(MAX(ABS(G14),ABS(K14),ABS(O14),ABS(S14))&gt;Settings!$B$2,"Y","N")))</f>
        <v/>
      </c>
      <c r="W14" s="2">
        <f>IF(C14="","",TRIM(IFERROR("LABOUR_ALL: "&amp;INDEX(Notes!$D$3:$D$52,MATCH(C14&amp;"|"&amp;D14&amp;"|LABOUR_ALL",Notes!$E$3:$E$52,0))&amp;" ","")&amp;IFERROR("INSTALL: "&amp;INDEX(Notes!$D$3:$D$52,MATCH(C14&amp;"|"&amp;D14&amp;"|INSTALL",Notes!$E$3:$E$52,0))&amp;" ","")&amp;IFERROR("PRODUCT: "&amp;INDEX(Notes!$D$3:$D$52,MATCH(C14&amp;"|"&amp;D14&amp;"|PRODUCT",Notes!$E$3:$E$52,0))&amp;" ","")&amp;IFERROR("ALLOWANCE: "&amp;INDEX(Notes!$D$3:$D$52,MATCH(C14&amp;"|"&amp;D14&amp;"|ALLOWANCE",Notes!$E$3:$E$52,0))&amp;" ","")))</f>
        <v/>
      </c>
    </row>
    <row r="15">
      <c r="A15" s="2" t="n">
        <v>14</v>
      </c>
      <c r="B15" s="2">
        <f>IFERROR(MATCH(A15,Lines!$AG$2:$AG$500,0),"")</f>
        <v/>
      </c>
      <c r="C15" s="2">
        <f>IF(B15="","",INDEX(Lines!$B$2:$B$500,B15))</f>
        <v/>
      </c>
      <c r="D15" s="2">
        <f>IF(B15="","",INDEX(Lines!$C$2:$C$500,B15))</f>
        <v/>
      </c>
      <c r="E15" s="9">
        <f>IF(C15="","",SUMIFS(Lines!$N$2:$N$500,Lines!$B$2:$B$500,C15,Lines!$C$2:$C$500,D15,Lines!$A$2:$A$500,"line",Lines!$X$2:$X$500,"LABOUR_ALL",Lines!$D$2:$D$500,"quote"))</f>
        <v/>
      </c>
      <c r="F15" s="9">
        <f>IF(C15="","",SUMIFS(Lines!$N$2:$N$500,Lines!$B$2:$B$500,C15,Lines!$C$2:$C$500,D15,Lines!$A$2:$A$500,"line",Lines!$X$2:$X$500,"LABOUR_ALL",Lines!$D$2:$D$500,"invoice"))</f>
        <v/>
      </c>
      <c r="G15" s="9">
        <f>IF(C15="","",F15-E15)</f>
        <v/>
      </c>
      <c r="H15" s="10">
        <f>IF(C15="","",IFERROR(G15/E15,""))</f>
        <v/>
      </c>
      <c r="I15" s="9">
        <f>IF(C15="","",SUMIFS(Lines!$N$2:$N$500,Lines!$B$2:$B$500,C15,Lines!$C$2:$C$500,D15,Lines!$A$2:$A$500,"line",Lines!$O$2:$O$500,"INSTALL",Lines!$D$2:$D$500,"quote"))</f>
        <v/>
      </c>
      <c r="J15" s="9">
        <f>IF(C15="","",SUMIFS(Lines!$N$2:$N$500,Lines!$B$2:$B$500,C15,Lines!$C$2:$C$500,D15,Lines!$A$2:$A$500,"line",Lines!$O$2:$O$500,"INSTALL",Lines!$D$2:$D$500,"invoice"))</f>
        <v/>
      </c>
      <c r="K15" s="9">
        <f>IF(C15="","",J15-I15)</f>
        <v/>
      </c>
      <c r="L15" s="10">
        <f>IF(C15="","",IFERROR(K15/I15,""))</f>
        <v/>
      </c>
      <c r="M15" s="9">
        <f>IF(C15="","",SUMIFS(Lines!$N$2:$N$500,Lines!$B$2:$B$500,C15,Lines!$C$2:$C$500,D15,Lines!$A$2:$A$500,"line",Lines!$O$2:$O$500,"PRODUCT",Lines!$D$2:$D$500,"quote"))</f>
        <v/>
      </c>
      <c r="N15" s="9">
        <f>IF(C15="","",SUMIFS(Lines!$N$2:$N$500,Lines!$B$2:$B$500,C15,Lines!$C$2:$C$500,D15,Lines!$A$2:$A$500,"line",Lines!$O$2:$O$500,"PRODUCT",Lines!$D$2:$D$500,"invoice"))</f>
        <v/>
      </c>
      <c r="O15" s="9">
        <f>IF(C15="","",N15-M15)</f>
        <v/>
      </c>
      <c r="P15" s="10">
        <f>IF(C15="","",IFERROR(O15/M15,""))</f>
        <v/>
      </c>
      <c r="Q15" s="9">
        <f>IF(C15="","",SUMIFS(Lines!$N$2:$N$500,Lines!$B$2:$B$500,C15,Lines!$C$2:$C$500,D15,Lines!$A$2:$A$500,"line",Lines!$O$2:$O$500,"ALLOWANCE",Lines!$D$2:$D$500,"quote"))</f>
        <v/>
      </c>
      <c r="R15" s="9">
        <f>IF(C15="","",SUMIFS(Lines!$N$2:$N$500,Lines!$B$2:$B$500,C15,Lines!$C$2:$C$500,D15,Lines!$A$2:$A$500,"line",Lines!$O$2:$O$500,"ALLOWANCE",Lines!$D$2:$D$500,"invoice"))</f>
        <v/>
      </c>
      <c r="S15" s="9">
        <f>IF(C15="","",R15-Q15)</f>
        <v/>
      </c>
      <c r="T15" s="10">
        <f>IF(C15="","",IFERROR(S15/Q15,""))</f>
        <v/>
      </c>
      <c r="U15" s="2">
        <f>IF(C15="","",COUNTIFS(Docs!$D$2:$D$51,C15,Docs!$E$2:$E$51,D15,Docs!$F$2:$F$51,"invoice"))</f>
        <v/>
      </c>
      <c r="V15" s="2">
        <f>IF(C15="","",IF(U15=0,"N/A - pending",IF(MAX(ABS(G15),ABS(K15),ABS(O15),ABS(S15))&gt;Settings!$B$2,"Y","N")))</f>
        <v/>
      </c>
      <c r="W15" s="2">
        <f>IF(C15="","",TRIM(IFERROR("LABOUR_ALL: "&amp;INDEX(Notes!$D$3:$D$52,MATCH(C15&amp;"|"&amp;D15&amp;"|LABOUR_ALL",Notes!$E$3:$E$52,0))&amp;" ","")&amp;IFERROR("INSTALL: "&amp;INDEX(Notes!$D$3:$D$52,MATCH(C15&amp;"|"&amp;D15&amp;"|INSTALL",Notes!$E$3:$E$52,0))&amp;" ","")&amp;IFERROR("PRODUCT: "&amp;INDEX(Notes!$D$3:$D$52,MATCH(C15&amp;"|"&amp;D15&amp;"|PRODUCT",Notes!$E$3:$E$52,0))&amp;" ","")&amp;IFERROR("ALLOWANCE: "&amp;INDEX(Notes!$D$3:$D$52,MATCH(C15&amp;"|"&amp;D15&amp;"|ALLOWANCE",Notes!$E$3:$E$52,0))&amp;" ","")))</f>
        <v/>
      </c>
    </row>
    <row r="16">
      <c r="A16" s="2" t="n">
        <v>15</v>
      </c>
      <c r="B16" s="2">
        <f>IFERROR(MATCH(A16,Lines!$AG$2:$AG$500,0),"")</f>
        <v/>
      </c>
      <c r="C16" s="2">
        <f>IF(B16="","",INDEX(Lines!$B$2:$B$500,B16))</f>
        <v/>
      </c>
      <c r="D16" s="2">
        <f>IF(B16="","",INDEX(Lines!$C$2:$C$500,B16))</f>
        <v/>
      </c>
      <c r="E16" s="9">
        <f>IF(C16="","",SUMIFS(Lines!$N$2:$N$500,Lines!$B$2:$B$500,C16,Lines!$C$2:$C$500,D16,Lines!$A$2:$A$500,"line",Lines!$X$2:$X$500,"LABOUR_ALL",Lines!$D$2:$D$500,"quote"))</f>
        <v/>
      </c>
      <c r="F16" s="9">
        <f>IF(C16="","",SUMIFS(Lines!$N$2:$N$500,Lines!$B$2:$B$500,C16,Lines!$C$2:$C$500,D16,Lines!$A$2:$A$500,"line",Lines!$X$2:$X$500,"LABOUR_ALL",Lines!$D$2:$D$500,"invoice"))</f>
        <v/>
      </c>
      <c r="G16" s="9">
        <f>IF(C16="","",F16-E16)</f>
        <v/>
      </c>
      <c r="H16" s="10">
        <f>IF(C16="","",IFERROR(G16/E16,""))</f>
        <v/>
      </c>
      <c r="I16" s="9">
        <f>IF(C16="","",SUMIFS(Lines!$N$2:$N$500,Lines!$B$2:$B$500,C16,Lines!$C$2:$C$500,D16,Lines!$A$2:$A$500,"line",Lines!$O$2:$O$500,"INSTALL",Lines!$D$2:$D$500,"quote"))</f>
        <v/>
      </c>
      <c r="J16" s="9">
        <f>IF(C16="","",SUMIFS(Lines!$N$2:$N$500,Lines!$B$2:$B$500,C16,Lines!$C$2:$C$500,D16,Lines!$A$2:$A$500,"line",Lines!$O$2:$O$500,"INSTALL",Lines!$D$2:$D$500,"invoice"))</f>
        <v/>
      </c>
      <c r="K16" s="9">
        <f>IF(C16="","",J16-I16)</f>
        <v/>
      </c>
      <c r="L16" s="10">
        <f>IF(C16="","",IFERROR(K16/I16,""))</f>
        <v/>
      </c>
      <c r="M16" s="9">
        <f>IF(C16="","",SUMIFS(Lines!$N$2:$N$500,Lines!$B$2:$B$500,C16,Lines!$C$2:$C$500,D16,Lines!$A$2:$A$500,"line",Lines!$O$2:$O$500,"PRODUCT",Lines!$D$2:$D$500,"quote"))</f>
        <v/>
      </c>
      <c r="N16" s="9">
        <f>IF(C16="","",SUMIFS(Lines!$N$2:$N$500,Lines!$B$2:$B$500,C16,Lines!$C$2:$C$500,D16,Lines!$A$2:$A$500,"line",Lines!$O$2:$O$500,"PRODUCT",Lines!$D$2:$D$500,"invoice"))</f>
        <v/>
      </c>
      <c r="O16" s="9">
        <f>IF(C16="","",N16-M16)</f>
        <v/>
      </c>
      <c r="P16" s="10">
        <f>IF(C16="","",IFERROR(O16/M16,""))</f>
        <v/>
      </c>
      <c r="Q16" s="9">
        <f>IF(C16="","",SUMIFS(Lines!$N$2:$N$500,Lines!$B$2:$B$500,C16,Lines!$C$2:$C$500,D16,Lines!$A$2:$A$500,"line",Lines!$O$2:$O$500,"ALLOWANCE",Lines!$D$2:$D$500,"quote"))</f>
        <v/>
      </c>
      <c r="R16" s="9">
        <f>IF(C16="","",SUMIFS(Lines!$N$2:$N$500,Lines!$B$2:$B$500,C16,Lines!$C$2:$C$500,D16,Lines!$A$2:$A$500,"line",Lines!$O$2:$O$500,"ALLOWANCE",Lines!$D$2:$D$500,"invoice"))</f>
        <v/>
      </c>
      <c r="S16" s="9">
        <f>IF(C16="","",R16-Q16)</f>
        <v/>
      </c>
      <c r="T16" s="10">
        <f>IF(C16="","",IFERROR(S16/Q16,""))</f>
        <v/>
      </c>
      <c r="U16" s="2">
        <f>IF(C16="","",COUNTIFS(Docs!$D$2:$D$51,C16,Docs!$E$2:$E$51,D16,Docs!$F$2:$F$51,"invoice"))</f>
        <v/>
      </c>
      <c r="V16" s="2">
        <f>IF(C16="","",IF(U16=0,"N/A - pending",IF(MAX(ABS(G16),ABS(K16),ABS(O16),ABS(S16))&gt;Settings!$B$2,"Y","N")))</f>
        <v/>
      </c>
      <c r="W16" s="2">
        <f>IF(C16="","",TRIM(IFERROR("LABOUR_ALL: "&amp;INDEX(Notes!$D$3:$D$52,MATCH(C16&amp;"|"&amp;D16&amp;"|LABOUR_ALL",Notes!$E$3:$E$52,0))&amp;" ","")&amp;IFERROR("INSTALL: "&amp;INDEX(Notes!$D$3:$D$52,MATCH(C16&amp;"|"&amp;D16&amp;"|INSTALL",Notes!$E$3:$E$52,0))&amp;" ","")&amp;IFERROR("PRODUCT: "&amp;INDEX(Notes!$D$3:$D$52,MATCH(C16&amp;"|"&amp;D16&amp;"|PRODUCT",Notes!$E$3:$E$52,0))&amp;" ","")&amp;IFERROR("ALLOWANCE: "&amp;INDEX(Notes!$D$3:$D$52,MATCH(C16&amp;"|"&amp;D16&amp;"|ALLOWANCE",Notes!$E$3:$E$52,0))&amp;" ","")))</f>
        <v/>
      </c>
    </row>
    <row r="17">
      <c r="A17" s="2" t="n">
        <v>16</v>
      </c>
      <c r="B17" s="2">
        <f>IFERROR(MATCH(A17,Lines!$AG$2:$AG$500,0),"")</f>
        <v/>
      </c>
      <c r="C17" s="2">
        <f>IF(B17="","",INDEX(Lines!$B$2:$B$500,B17))</f>
        <v/>
      </c>
      <c r="D17" s="2">
        <f>IF(B17="","",INDEX(Lines!$C$2:$C$500,B17))</f>
        <v/>
      </c>
      <c r="E17" s="9">
        <f>IF(C17="","",SUMIFS(Lines!$N$2:$N$500,Lines!$B$2:$B$500,C17,Lines!$C$2:$C$500,D17,Lines!$A$2:$A$500,"line",Lines!$X$2:$X$500,"LABOUR_ALL",Lines!$D$2:$D$500,"quote"))</f>
        <v/>
      </c>
      <c r="F17" s="9">
        <f>IF(C17="","",SUMIFS(Lines!$N$2:$N$500,Lines!$B$2:$B$500,C17,Lines!$C$2:$C$500,D17,Lines!$A$2:$A$500,"line",Lines!$X$2:$X$500,"LABOUR_ALL",Lines!$D$2:$D$500,"invoice"))</f>
        <v/>
      </c>
      <c r="G17" s="9">
        <f>IF(C17="","",F17-E17)</f>
        <v/>
      </c>
      <c r="H17" s="10">
        <f>IF(C17="","",IFERROR(G17/E17,""))</f>
        <v/>
      </c>
      <c r="I17" s="9">
        <f>IF(C17="","",SUMIFS(Lines!$N$2:$N$500,Lines!$B$2:$B$500,C17,Lines!$C$2:$C$500,D17,Lines!$A$2:$A$500,"line",Lines!$O$2:$O$500,"INSTALL",Lines!$D$2:$D$500,"quote"))</f>
        <v/>
      </c>
      <c r="J17" s="9">
        <f>IF(C17="","",SUMIFS(Lines!$N$2:$N$500,Lines!$B$2:$B$500,C17,Lines!$C$2:$C$500,D17,Lines!$A$2:$A$500,"line",Lines!$O$2:$O$500,"INSTALL",Lines!$D$2:$D$500,"invoice"))</f>
        <v/>
      </c>
      <c r="K17" s="9">
        <f>IF(C17="","",J17-I17)</f>
        <v/>
      </c>
      <c r="L17" s="10">
        <f>IF(C17="","",IFERROR(K17/I17,""))</f>
        <v/>
      </c>
      <c r="M17" s="9">
        <f>IF(C17="","",SUMIFS(Lines!$N$2:$N$500,Lines!$B$2:$B$500,C17,Lines!$C$2:$C$500,D17,Lines!$A$2:$A$500,"line",Lines!$O$2:$O$500,"PRODUCT",Lines!$D$2:$D$500,"quote"))</f>
        <v/>
      </c>
      <c r="N17" s="9">
        <f>IF(C17="","",SUMIFS(Lines!$N$2:$N$500,Lines!$B$2:$B$500,C17,Lines!$C$2:$C$500,D17,Lines!$A$2:$A$500,"line",Lines!$O$2:$O$500,"PRODUCT",Lines!$D$2:$D$500,"invoice"))</f>
        <v/>
      </c>
      <c r="O17" s="9">
        <f>IF(C17="","",N17-M17)</f>
        <v/>
      </c>
      <c r="P17" s="10">
        <f>IF(C17="","",IFERROR(O17/M17,""))</f>
        <v/>
      </c>
      <c r="Q17" s="9">
        <f>IF(C17="","",SUMIFS(Lines!$N$2:$N$500,Lines!$B$2:$B$500,C17,Lines!$C$2:$C$500,D17,Lines!$A$2:$A$500,"line",Lines!$O$2:$O$500,"ALLOWANCE",Lines!$D$2:$D$500,"quote"))</f>
        <v/>
      </c>
      <c r="R17" s="9">
        <f>IF(C17="","",SUMIFS(Lines!$N$2:$N$500,Lines!$B$2:$B$500,C17,Lines!$C$2:$C$500,D17,Lines!$A$2:$A$500,"line",Lines!$O$2:$O$500,"ALLOWANCE",Lines!$D$2:$D$500,"invoice"))</f>
        <v/>
      </c>
      <c r="S17" s="9">
        <f>IF(C17="","",R17-Q17)</f>
        <v/>
      </c>
      <c r="T17" s="10">
        <f>IF(C17="","",IFERROR(S17/Q17,""))</f>
        <v/>
      </c>
      <c r="U17" s="2">
        <f>IF(C17="","",COUNTIFS(Docs!$D$2:$D$51,C17,Docs!$E$2:$E$51,D17,Docs!$F$2:$F$51,"invoice"))</f>
        <v/>
      </c>
      <c r="V17" s="2">
        <f>IF(C17="","",IF(U17=0,"N/A - pending",IF(MAX(ABS(G17),ABS(K17),ABS(O17),ABS(S17))&gt;Settings!$B$2,"Y","N")))</f>
        <v/>
      </c>
      <c r="W17" s="2">
        <f>IF(C17="","",TRIM(IFERROR("LABOUR_ALL: "&amp;INDEX(Notes!$D$3:$D$52,MATCH(C17&amp;"|"&amp;D17&amp;"|LABOUR_ALL",Notes!$E$3:$E$52,0))&amp;" ","")&amp;IFERROR("INSTALL: "&amp;INDEX(Notes!$D$3:$D$52,MATCH(C17&amp;"|"&amp;D17&amp;"|INSTALL",Notes!$E$3:$E$52,0))&amp;" ","")&amp;IFERROR("PRODUCT: "&amp;INDEX(Notes!$D$3:$D$52,MATCH(C17&amp;"|"&amp;D17&amp;"|PRODUCT",Notes!$E$3:$E$52,0))&amp;" ","")&amp;IFERROR("ALLOWANCE: "&amp;INDEX(Notes!$D$3:$D$52,MATCH(C17&amp;"|"&amp;D17&amp;"|ALLOWANCE",Notes!$E$3:$E$52,0))&amp;" ","")))</f>
        <v/>
      </c>
    </row>
    <row r="18">
      <c r="A18" s="2" t="n">
        <v>17</v>
      </c>
      <c r="B18" s="2">
        <f>IFERROR(MATCH(A18,Lines!$AG$2:$AG$500,0),"")</f>
        <v/>
      </c>
      <c r="C18" s="2">
        <f>IF(B18="","",INDEX(Lines!$B$2:$B$500,B18))</f>
        <v/>
      </c>
      <c r="D18" s="2">
        <f>IF(B18="","",INDEX(Lines!$C$2:$C$500,B18))</f>
        <v/>
      </c>
      <c r="E18" s="9">
        <f>IF(C18="","",SUMIFS(Lines!$N$2:$N$500,Lines!$B$2:$B$500,C18,Lines!$C$2:$C$500,D18,Lines!$A$2:$A$500,"line",Lines!$X$2:$X$500,"LABOUR_ALL",Lines!$D$2:$D$500,"quote"))</f>
        <v/>
      </c>
      <c r="F18" s="9">
        <f>IF(C18="","",SUMIFS(Lines!$N$2:$N$500,Lines!$B$2:$B$500,C18,Lines!$C$2:$C$500,D18,Lines!$A$2:$A$500,"line",Lines!$X$2:$X$500,"LABOUR_ALL",Lines!$D$2:$D$500,"invoice"))</f>
        <v/>
      </c>
      <c r="G18" s="9">
        <f>IF(C18="","",F18-E18)</f>
        <v/>
      </c>
      <c r="H18" s="10">
        <f>IF(C18="","",IFERROR(G18/E18,""))</f>
        <v/>
      </c>
      <c r="I18" s="9">
        <f>IF(C18="","",SUMIFS(Lines!$N$2:$N$500,Lines!$B$2:$B$500,C18,Lines!$C$2:$C$500,D18,Lines!$A$2:$A$500,"line",Lines!$O$2:$O$500,"INSTALL",Lines!$D$2:$D$500,"quote"))</f>
        <v/>
      </c>
      <c r="J18" s="9">
        <f>IF(C18="","",SUMIFS(Lines!$N$2:$N$500,Lines!$B$2:$B$500,C18,Lines!$C$2:$C$500,D18,Lines!$A$2:$A$500,"line",Lines!$O$2:$O$500,"INSTALL",Lines!$D$2:$D$500,"invoice"))</f>
        <v/>
      </c>
      <c r="K18" s="9">
        <f>IF(C18="","",J18-I18)</f>
        <v/>
      </c>
      <c r="L18" s="10">
        <f>IF(C18="","",IFERROR(K18/I18,""))</f>
        <v/>
      </c>
      <c r="M18" s="9">
        <f>IF(C18="","",SUMIFS(Lines!$N$2:$N$500,Lines!$B$2:$B$500,C18,Lines!$C$2:$C$500,D18,Lines!$A$2:$A$500,"line",Lines!$O$2:$O$500,"PRODUCT",Lines!$D$2:$D$500,"quote"))</f>
        <v/>
      </c>
      <c r="N18" s="9">
        <f>IF(C18="","",SUMIFS(Lines!$N$2:$N$500,Lines!$B$2:$B$500,C18,Lines!$C$2:$C$500,D18,Lines!$A$2:$A$500,"line",Lines!$O$2:$O$500,"PRODUCT",Lines!$D$2:$D$500,"invoice"))</f>
        <v/>
      </c>
      <c r="O18" s="9">
        <f>IF(C18="","",N18-M18)</f>
        <v/>
      </c>
      <c r="P18" s="10">
        <f>IF(C18="","",IFERROR(O18/M18,""))</f>
        <v/>
      </c>
      <c r="Q18" s="9">
        <f>IF(C18="","",SUMIFS(Lines!$N$2:$N$500,Lines!$B$2:$B$500,C18,Lines!$C$2:$C$500,D18,Lines!$A$2:$A$500,"line",Lines!$O$2:$O$500,"ALLOWANCE",Lines!$D$2:$D$500,"quote"))</f>
        <v/>
      </c>
      <c r="R18" s="9">
        <f>IF(C18="","",SUMIFS(Lines!$N$2:$N$500,Lines!$B$2:$B$500,C18,Lines!$C$2:$C$500,D18,Lines!$A$2:$A$500,"line",Lines!$O$2:$O$500,"ALLOWANCE",Lines!$D$2:$D$500,"invoice"))</f>
        <v/>
      </c>
      <c r="S18" s="9">
        <f>IF(C18="","",R18-Q18)</f>
        <v/>
      </c>
      <c r="T18" s="10">
        <f>IF(C18="","",IFERROR(S18/Q18,""))</f>
        <v/>
      </c>
      <c r="U18" s="2">
        <f>IF(C18="","",COUNTIFS(Docs!$D$2:$D$51,C18,Docs!$E$2:$E$51,D18,Docs!$F$2:$F$51,"invoice"))</f>
        <v/>
      </c>
      <c r="V18" s="2">
        <f>IF(C18="","",IF(U18=0,"N/A - pending",IF(MAX(ABS(G18),ABS(K18),ABS(O18),ABS(S18))&gt;Settings!$B$2,"Y","N")))</f>
        <v/>
      </c>
      <c r="W18" s="2">
        <f>IF(C18="","",TRIM(IFERROR("LABOUR_ALL: "&amp;INDEX(Notes!$D$3:$D$52,MATCH(C18&amp;"|"&amp;D18&amp;"|LABOUR_ALL",Notes!$E$3:$E$52,0))&amp;" ","")&amp;IFERROR("INSTALL: "&amp;INDEX(Notes!$D$3:$D$52,MATCH(C18&amp;"|"&amp;D18&amp;"|INSTALL",Notes!$E$3:$E$52,0))&amp;" ","")&amp;IFERROR("PRODUCT: "&amp;INDEX(Notes!$D$3:$D$52,MATCH(C18&amp;"|"&amp;D18&amp;"|PRODUCT",Notes!$E$3:$E$52,0))&amp;" ","")&amp;IFERROR("ALLOWANCE: "&amp;INDEX(Notes!$D$3:$D$52,MATCH(C18&amp;"|"&amp;D18&amp;"|ALLOWANCE",Notes!$E$3:$E$52,0))&amp;" ","")))</f>
        <v/>
      </c>
    </row>
    <row r="19">
      <c r="A19" s="2" t="n">
        <v>18</v>
      </c>
      <c r="B19" s="2">
        <f>IFERROR(MATCH(A19,Lines!$AG$2:$AG$500,0),"")</f>
        <v/>
      </c>
      <c r="C19" s="2">
        <f>IF(B19="","",INDEX(Lines!$B$2:$B$500,B19))</f>
        <v/>
      </c>
      <c r="D19" s="2">
        <f>IF(B19="","",INDEX(Lines!$C$2:$C$500,B19))</f>
        <v/>
      </c>
      <c r="E19" s="9">
        <f>IF(C19="","",SUMIFS(Lines!$N$2:$N$500,Lines!$B$2:$B$500,C19,Lines!$C$2:$C$500,D19,Lines!$A$2:$A$500,"line",Lines!$X$2:$X$500,"LABOUR_ALL",Lines!$D$2:$D$500,"quote"))</f>
        <v/>
      </c>
      <c r="F19" s="9">
        <f>IF(C19="","",SUMIFS(Lines!$N$2:$N$500,Lines!$B$2:$B$500,C19,Lines!$C$2:$C$500,D19,Lines!$A$2:$A$500,"line",Lines!$X$2:$X$500,"LABOUR_ALL",Lines!$D$2:$D$500,"invoice"))</f>
        <v/>
      </c>
      <c r="G19" s="9">
        <f>IF(C19="","",F19-E19)</f>
        <v/>
      </c>
      <c r="H19" s="10">
        <f>IF(C19="","",IFERROR(G19/E19,""))</f>
        <v/>
      </c>
      <c r="I19" s="9">
        <f>IF(C19="","",SUMIFS(Lines!$N$2:$N$500,Lines!$B$2:$B$500,C19,Lines!$C$2:$C$500,D19,Lines!$A$2:$A$500,"line",Lines!$O$2:$O$500,"INSTALL",Lines!$D$2:$D$500,"quote"))</f>
        <v/>
      </c>
      <c r="J19" s="9">
        <f>IF(C19="","",SUMIFS(Lines!$N$2:$N$500,Lines!$B$2:$B$500,C19,Lines!$C$2:$C$500,D19,Lines!$A$2:$A$500,"line",Lines!$O$2:$O$500,"INSTALL",Lines!$D$2:$D$500,"invoice"))</f>
        <v/>
      </c>
      <c r="K19" s="9">
        <f>IF(C19="","",J19-I19)</f>
        <v/>
      </c>
      <c r="L19" s="10">
        <f>IF(C19="","",IFERROR(K19/I19,""))</f>
        <v/>
      </c>
      <c r="M19" s="9">
        <f>IF(C19="","",SUMIFS(Lines!$N$2:$N$500,Lines!$B$2:$B$500,C19,Lines!$C$2:$C$500,D19,Lines!$A$2:$A$500,"line",Lines!$O$2:$O$500,"PRODUCT",Lines!$D$2:$D$500,"quote"))</f>
        <v/>
      </c>
      <c r="N19" s="9">
        <f>IF(C19="","",SUMIFS(Lines!$N$2:$N$500,Lines!$B$2:$B$500,C19,Lines!$C$2:$C$500,D19,Lines!$A$2:$A$500,"line",Lines!$O$2:$O$500,"PRODUCT",Lines!$D$2:$D$500,"invoice"))</f>
        <v/>
      </c>
      <c r="O19" s="9">
        <f>IF(C19="","",N19-M19)</f>
        <v/>
      </c>
      <c r="P19" s="10">
        <f>IF(C19="","",IFERROR(O19/M19,""))</f>
        <v/>
      </c>
      <c r="Q19" s="9">
        <f>IF(C19="","",SUMIFS(Lines!$N$2:$N$500,Lines!$B$2:$B$500,C19,Lines!$C$2:$C$500,D19,Lines!$A$2:$A$500,"line",Lines!$O$2:$O$500,"ALLOWANCE",Lines!$D$2:$D$500,"quote"))</f>
        <v/>
      </c>
      <c r="R19" s="9">
        <f>IF(C19="","",SUMIFS(Lines!$N$2:$N$500,Lines!$B$2:$B$500,C19,Lines!$C$2:$C$500,D19,Lines!$A$2:$A$500,"line",Lines!$O$2:$O$500,"ALLOWANCE",Lines!$D$2:$D$500,"invoice"))</f>
        <v/>
      </c>
      <c r="S19" s="9">
        <f>IF(C19="","",R19-Q19)</f>
        <v/>
      </c>
      <c r="T19" s="10">
        <f>IF(C19="","",IFERROR(S19/Q19,""))</f>
        <v/>
      </c>
      <c r="U19" s="2">
        <f>IF(C19="","",COUNTIFS(Docs!$D$2:$D$51,C19,Docs!$E$2:$E$51,D19,Docs!$F$2:$F$51,"invoice"))</f>
        <v/>
      </c>
      <c r="V19" s="2">
        <f>IF(C19="","",IF(U19=0,"N/A - pending",IF(MAX(ABS(G19),ABS(K19),ABS(O19),ABS(S19))&gt;Settings!$B$2,"Y","N")))</f>
        <v/>
      </c>
      <c r="W19" s="2">
        <f>IF(C19="","",TRIM(IFERROR("LABOUR_ALL: "&amp;INDEX(Notes!$D$3:$D$52,MATCH(C19&amp;"|"&amp;D19&amp;"|LABOUR_ALL",Notes!$E$3:$E$52,0))&amp;" ","")&amp;IFERROR("INSTALL: "&amp;INDEX(Notes!$D$3:$D$52,MATCH(C19&amp;"|"&amp;D19&amp;"|INSTALL",Notes!$E$3:$E$52,0))&amp;" ","")&amp;IFERROR("PRODUCT: "&amp;INDEX(Notes!$D$3:$D$52,MATCH(C19&amp;"|"&amp;D19&amp;"|PRODUCT",Notes!$E$3:$E$52,0))&amp;" ","")&amp;IFERROR("ALLOWANCE: "&amp;INDEX(Notes!$D$3:$D$52,MATCH(C19&amp;"|"&amp;D19&amp;"|ALLOWANCE",Notes!$E$3:$E$52,0))&amp;" ","")))</f>
        <v/>
      </c>
    </row>
    <row r="20">
      <c r="A20" s="2" t="n">
        <v>19</v>
      </c>
      <c r="B20" s="2">
        <f>IFERROR(MATCH(A20,Lines!$AG$2:$AG$500,0),"")</f>
        <v/>
      </c>
      <c r="C20" s="2">
        <f>IF(B20="","",INDEX(Lines!$B$2:$B$500,B20))</f>
        <v/>
      </c>
      <c r="D20" s="2">
        <f>IF(B20="","",INDEX(Lines!$C$2:$C$500,B20))</f>
        <v/>
      </c>
      <c r="E20" s="9">
        <f>IF(C20="","",SUMIFS(Lines!$N$2:$N$500,Lines!$B$2:$B$500,C20,Lines!$C$2:$C$500,D20,Lines!$A$2:$A$500,"line",Lines!$X$2:$X$500,"LABOUR_ALL",Lines!$D$2:$D$500,"quote"))</f>
        <v/>
      </c>
      <c r="F20" s="9">
        <f>IF(C20="","",SUMIFS(Lines!$N$2:$N$500,Lines!$B$2:$B$500,C20,Lines!$C$2:$C$500,D20,Lines!$A$2:$A$500,"line",Lines!$X$2:$X$500,"LABOUR_ALL",Lines!$D$2:$D$500,"invoice"))</f>
        <v/>
      </c>
      <c r="G20" s="9">
        <f>IF(C20="","",F20-E20)</f>
        <v/>
      </c>
      <c r="H20" s="10">
        <f>IF(C20="","",IFERROR(G20/E20,""))</f>
        <v/>
      </c>
      <c r="I20" s="9">
        <f>IF(C20="","",SUMIFS(Lines!$N$2:$N$500,Lines!$B$2:$B$500,C20,Lines!$C$2:$C$500,D20,Lines!$A$2:$A$500,"line",Lines!$O$2:$O$500,"INSTALL",Lines!$D$2:$D$500,"quote"))</f>
        <v/>
      </c>
      <c r="J20" s="9">
        <f>IF(C20="","",SUMIFS(Lines!$N$2:$N$500,Lines!$B$2:$B$500,C20,Lines!$C$2:$C$500,D20,Lines!$A$2:$A$500,"line",Lines!$O$2:$O$500,"INSTALL",Lines!$D$2:$D$500,"invoice"))</f>
        <v/>
      </c>
      <c r="K20" s="9">
        <f>IF(C20="","",J20-I20)</f>
        <v/>
      </c>
      <c r="L20" s="10">
        <f>IF(C20="","",IFERROR(K20/I20,""))</f>
        <v/>
      </c>
      <c r="M20" s="9">
        <f>IF(C20="","",SUMIFS(Lines!$N$2:$N$500,Lines!$B$2:$B$500,C20,Lines!$C$2:$C$500,D20,Lines!$A$2:$A$500,"line",Lines!$O$2:$O$500,"PRODUCT",Lines!$D$2:$D$500,"quote"))</f>
        <v/>
      </c>
      <c r="N20" s="9">
        <f>IF(C20="","",SUMIFS(Lines!$N$2:$N$500,Lines!$B$2:$B$500,C20,Lines!$C$2:$C$500,D20,Lines!$A$2:$A$500,"line",Lines!$O$2:$O$500,"PRODUCT",Lines!$D$2:$D$500,"invoice"))</f>
        <v/>
      </c>
      <c r="O20" s="9">
        <f>IF(C20="","",N20-M20)</f>
        <v/>
      </c>
      <c r="P20" s="10">
        <f>IF(C20="","",IFERROR(O20/M20,""))</f>
        <v/>
      </c>
      <c r="Q20" s="9">
        <f>IF(C20="","",SUMIFS(Lines!$N$2:$N$500,Lines!$B$2:$B$500,C20,Lines!$C$2:$C$500,D20,Lines!$A$2:$A$500,"line",Lines!$O$2:$O$500,"ALLOWANCE",Lines!$D$2:$D$500,"quote"))</f>
        <v/>
      </c>
      <c r="R20" s="9">
        <f>IF(C20="","",SUMIFS(Lines!$N$2:$N$500,Lines!$B$2:$B$500,C20,Lines!$C$2:$C$500,D20,Lines!$A$2:$A$500,"line",Lines!$O$2:$O$500,"ALLOWANCE",Lines!$D$2:$D$500,"invoice"))</f>
        <v/>
      </c>
      <c r="S20" s="9">
        <f>IF(C20="","",R20-Q20)</f>
        <v/>
      </c>
      <c r="T20" s="10">
        <f>IF(C20="","",IFERROR(S20/Q20,""))</f>
        <v/>
      </c>
      <c r="U20" s="2">
        <f>IF(C20="","",COUNTIFS(Docs!$D$2:$D$51,C20,Docs!$E$2:$E$51,D20,Docs!$F$2:$F$51,"invoice"))</f>
        <v/>
      </c>
      <c r="V20" s="2">
        <f>IF(C20="","",IF(U20=0,"N/A - pending",IF(MAX(ABS(G20),ABS(K20),ABS(O20),ABS(S20))&gt;Settings!$B$2,"Y","N")))</f>
        <v/>
      </c>
      <c r="W20" s="2">
        <f>IF(C20="","",TRIM(IFERROR("LABOUR_ALL: "&amp;INDEX(Notes!$D$3:$D$52,MATCH(C20&amp;"|"&amp;D20&amp;"|LABOUR_ALL",Notes!$E$3:$E$52,0))&amp;" ","")&amp;IFERROR("INSTALL: "&amp;INDEX(Notes!$D$3:$D$52,MATCH(C20&amp;"|"&amp;D20&amp;"|INSTALL",Notes!$E$3:$E$52,0))&amp;" ","")&amp;IFERROR("PRODUCT: "&amp;INDEX(Notes!$D$3:$D$52,MATCH(C20&amp;"|"&amp;D20&amp;"|PRODUCT",Notes!$E$3:$E$52,0))&amp;" ","")&amp;IFERROR("ALLOWANCE: "&amp;INDEX(Notes!$D$3:$D$52,MATCH(C20&amp;"|"&amp;D20&amp;"|ALLOWANCE",Notes!$E$3:$E$52,0))&amp;" ","")))</f>
        <v/>
      </c>
    </row>
    <row r="21">
      <c r="A21" s="2" t="n">
        <v>20</v>
      </c>
      <c r="B21" s="2">
        <f>IFERROR(MATCH(A21,Lines!$AG$2:$AG$500,0),"")</f>
        <v/>
      </c>
      <c r="C21" s="2">
        <f>IF(B21="","",INDEX(Lines!$B$2:$B$500,B21))</f>
        <v/>
      </c>
      <c r="D21" s="2">
        <f>IF(B21="","",INDEX(Lines!$C$2:$C$500,B21))</f>
        <v/>
      </c>
      <c r="E21" s="9">
        <f>IF(C21="","",SUMIFS(Lines!$N$2:$N$500,Lines!$B$2:$B$500,C21,Lines!$C$2:$C$500,D21,Lines!$A$2:$A$500,"line",Lines!$X$2:$X$500,"LABOUR_ALL",Lines!$D$2:$D$500,"quote"))</f>
        <v/>
      </c>
      <c r="F21" s="9">
        <f>IF(C21="","",SUMIFS(Lines!$N$2:$N$500,Lines!$B$2:$B$500,C21,Lines!$C$2:$C$500,D21,Lines!$A$2:$A$500,"line",Lines!$X$2:$X$500,"LABOUR_ALL",Lines!$D$2:$D$500,"invoice"))</f>
        <v/>
      </c>
      <c r="G21" s="9">
        <f>IF(C21="","",F21-E21)</f>
        <v/>
      </c>
      <c r="H21" s="10">
        <f>IF(C21="","",IFERROR(G21/E21,""))</f>
        <v/>
      </c>
      <c r="I21" s="9">
        <f>IF(C21="","",SUMIFS(Lines!$N$2:$N$500,Lines!$B$2:$B$500,C21,Lines!$C$2:$C$500,D21,Lines!$A$2:$A$500,"line",Lines!$O$2:$O$500,"INSTALL",Lines!$D$2:$D$500,"quote"))</f>
        <v/>
      </c>
      <c r="J21" s="9">
        <f>IF(C21="","",SUMIFS(Lines!$N$2:$N$500,Lines!$B$2:$B$500,C21,Lines!$C$2:$C$500,D21,Lines!$A$2:$A$500,"line",Lines!$O$2:$O$500,"INSTALL",Lines!$D$2:$D$500,"invoice"))</f>
        <v/>
      </c>
      <c r="K21" s="9">
        <f>IF(C21="","",J21-I21)</f>
        <v/>
      </c>
      <c r="L21" s="10">
        <f>IF(C21="","",IFERROR(K21/I21,""))</f>
        <v/>
      </c>
      <c r="M21" s="9">
        <f>IF(C21="","",SUMIFS(Lines!$N$2:$N$500,Lines!$B$2:$B$500,C21,Lines!$C$2:$C$500,D21,Lines!$A$2:$A$500,"line",Lines!$O$2:$O$500,"PRODUCT",Lines!$D$2:$D$500,"quote"))</f>
        <v/>
      </c>
      <c r="N21" s="9">
        <f>IF(C21="","",SUMIFS(Lines!$N$2:$N$500,Lines!$B$2:$B$500,C21,Lines!$C$2:$C$500,D21,Lines!$A$2:$A$500,"line",Lines!$O$2:$O$500,"PRODUCT",Lines!$D$2:$D$500,"invoice"))</f>
        <v/>
      </c>
      <c r="O21" s="9">
        <f>IF(C21="","",N21-M21)</f>
        <v/>
      </c>
      <c r="P21" s="10">
        <f>IF(C21="","",IFERROR(O21/M21,""))</f>
        <v/>
      </c>
      <c r="Q21" s="9">
        <f>IF(C21="","",SUMIFS(Lines!$N$2:$N$500,Lines!$B$2:$B$500,C21,Lines!$C$2:$C$500,D21,Lines!$A$2:$A$500,"line",Lines!$O$2:$O$500,"ALLOWANCE",Lines!$D$2:$D$500,"quote"))</f>
        <v/>
      </c>
      <c r="R21" s="9">
        <f>IF(C21="","",SUMIFS(Lines!$N$2:$N$500,Lines!$B$2:$B$500,C21,Lines!$C$2:$C$500,D21,Lines!$A$2:$A$500,"line",Lines!$O$2:$O$500,"ALLOWANCE",Lines!$D$2:$D$500,"invoice"))</f>
        <v/>
      </c>
      <c r="S21" s="9">
        <f>IF(C21="","",R21-Q21)</f>
        <v/>
      </c>
      <c r="T21" s="10">
        <f>IF(C21="","",IFERROR(S21/Q21,""))</f>
        <v/>
      </c>
      <c r="U21" s="2">
        <f>IF(C21="","",COUNTIFS(Docs!$D$2:$D$51,C21,Docs!$E$2:$E$51,D21,Docs!$F$2:$F$51,"invoice"))</f>
        <v/>
      </c>
      <c r="V21" s="2">
        <f>IF(C21="","",IF(U21=0,"N/A - pending",IF(MAX(ABS(G21),ABS(K21),ABS(O21),ABS(S21))&gt;Settings!$B$2,"Y","N")))</f>
        <v/>
      </c>
      <c r="W21" s="2">
        <f>IF(C21="","",TRIM(IFERROR("LABOUR_ALL: "&amp;INDEX(Notes!$D$3:$D$52,MATCH(C21&amp;"|"&amp;D21&amp;"|LABOUR_ALL",Notes!$E$3:$E$52,0))&amp;" ","")&amp;IFERROR("INSTALL: "&amp;INDEX(Notes!$D$3:$D$52,MATCH(C21&amp;"|"&amp;D21&amp;"|INSTALL",Notes!$E$3:$E$52,0))&amp;" ","")&amp;IFERROR("PRODUCT: "&amp;INDEX(Notes!$D$3:$D$52,MATCH(C21&amp;"|"&amp;D21&amp;"|PRODUCT",Notes!$E$3:$E$52,0))&amp;" ","")&amp;IFERROR("ALLOWANCE: "&amp;INDEX(Notes!$D$3:$D$52,MATCH(C21&amp;"|"&amp;D21&amp;"|ALLOWANCE",Notes!$E$3:$E$52,0))&amp;" ","")))</f>
        <v/>
      </c>
    </row>
    <row r="22">
      <c r="A22" s="2" t="n">
        <v>21</v>
      </c>
      <c r="B22" s="2">
        <f>IFERROR(MATCH(A22,Lines!$AG$2:$AG$500,0),"")</f>
        <v/>
      </c>
      <c r="C22" s="2">
        <f>IF(B22="","",INDEX(Lines!$B$2:$B$500,B22))</f>
        <v/>
      </c>
      <c r="D22" s="2">
        <f>IF(B22="","",INDEX(Lines!$C$2:$C$500,B22))</f>
        <v/>
      </c>
      <c r="E22" s="9">
        <f>IF(C22="","",SUMIFS(Lines!$N$2:$N$500,Lines!$B$2:$B$500,C22,Lines!$C$2:$C$500,D22,Lines!$A$2:$A$500,"line",Lines!$X$2:$X$500,"LABOUR_ALL",Lines!$D$2:$D$500,"quote"))</f>
        <v/>
      </c>
      <c r="F22" s="9">
        <f>IF(C22="","",SUMIFS(Lines!$N$2:$N$500,Lines!$B$2:$B$500,C22,Lines!$C$2:$C$500,D22,Lines!$A$2:$A$500,"line",Lines!$X$2:$X$500,"LABOUR_ALL",Lines!$D$2:$D$500,"invoice"))</f>
        <v/>
      </c>
      <c r="G22" s="9">
        <f>IF(C22="","",F22-E22)</f>
        <v/>
      </c>
      <c r="H22" s="10">
        <f>IF(C22="","",IFERROR(G22/E22,""))</f>
        <v/>
      </c>
      <c r="I22" s="9">
        <f>IF(C22="","",SUMIFS(Lines!$N$2:$N$500,Lines!$B$2:$B$500,C22,Lines!$C$2:$C$500,D22,Lines!$A$2:$A$500,"line",Lines!$O$2:$O$500,"INSTALL",Lines!$D$2:$D$500,"quote"))</f>
        <v/>
      </c>
      <c r="J22" s="9">
        <f>IF(C22="","",SUMIFS(Lines!$N$2:$N$500,Lines!$B$2:$B$500,C22,Lines!$C$2:$C$500,D22,Lines!$A$2:$A$500,"line",Lines!$O$2:$O$500,"INSTALL",Lines!$D$2:$D$500,"invoice"))</f>
        <v/>
      </c>
      <c r="K22" s="9">
        <f>IF(C22="","",J22-I22)</f>
        <v/>
      </c>
      <c r="L22" s="10">
        <f>IF(C22="","",IFERROR(K22/I22,""))</f>
        <v/>
      </c>
      <c r="M22" s="9">
        <f>IF(C22="","",SUMIFS(Lines!$N$2:$N$500,Lines!$B$2:$B$500,C22,Lines!$C$2:$C$500,D22,Lines!$A$2:$A$500,"line",Lines!$O$2:$O$500,"PRODUCT",Lines!$D$2:$D$500,"quote"))</f>
        <v/>
      </c>
      <c r="N22" s="9">
        <f>IF(C22="","",SUMIFS(Lines!$N$2:$N$500,Lines!$B$2:$B$500,C22,Lines!$C$2:$C$500,D22,Lines!$A$2:$A$500,"line",Lines!$O$2:$O$500,"PRODUCT",Lines!$D$2:$D$500,"invoice"))</f>
        <v/>
      </c>
      <c r="O22" s="9">
        <f>IF(C22="","",N22-M22)</f>
        <v/>
      </c>
      <c r="P22" s="10">
        <f>IF(C22="","",IFERROR(O22/M22,""))</f>
        <v/>
      </c>
      <c r="Q22" s="9">
        <f>IF(C22="","",SUMIFS(Lines!$N$2:$N$500,Lines!$B$2:$B$500,C22,Lines!$C$2:$C$500,D22,Lines!$A$2:$A$500,"line",Lines!$O$2:$O$500,"ALLOWANCE",Lines!$D$2:$D$500,"quote"))</f>
        <v/>
      </c>
      <c r="R22" s="9">
        <f>IF(C22="","",SUMIFS(Lines!$N$2:$N$500,Lines!$B$2:$B$500,C22,Lines!$C$2:$C$500,D22,Lines!$A$2:$A$500,"line",Lines!$O$2:$O$500,"ALLOWANCE",Lines!$D$2:$D$500,"invoice"))</f>
        <v/>
      </c>
      <c r="S22" s="9">
        <f>IF(C22="","",R22-Q22)</f>
        <v/>
      </c>
      <c r="T22" s="10">
        <f>IF(C22="","",IFERROR(S22/Q22,""))</f>
        <v/>
      </c>
      <c r="U22" s="2">
        <f>IF(C22="","",COUNTIFS(Docs!$D$2:$D$51,C22,Docs!$E$2:$E$51,D22,Docs!$F$2:$F$51,"invoice"))</f>
        <v/>
      </c>
      <c r="V22" s="2">
        <f>IF(C22="","",IF(U22=0,"N/A - pending",IF(MAX(ABS(G22),ABS(K22),ABS(O22),ABS(S22))&gt;Settings!$B$2,"Y","N")))</f>
        <v/>
      </c>
      <c r="W22" s="2">
        <f>IF(C22="","",TRIM(IFERROR("LABOUR_ALL: "&amp;INDEX(Notes!$D$3:$D$52,MATCH(C22&amp;"|"&amp;D22&amp;"|LABOUR_ALL",Notes!$E$3:$E$52,0))&amp;" ","")&amp;IFERROR("INSTALL: "&amp;INDEX(Notes!$D$3:$D$52,MATCH(C22&amp;"|"&amp;D22&amp;"|INSTALL",Notes!$E$3:$E$52,0))&amp;" ","")&amp;IFERROR("PRODUCT: "&amp;INDEX(Notes!$D$3:$D$52,MATCH(C22&amp;"|"&amp;D22&amp;"|PRODUCT",Notes!$E$3:$E$52,0))&amp;" ","")&amp;IFERROR("ALLOWANCE: "&amp;INDEX(Notes!$D$3:$D$52,MATCH(C22&amp;"|"&amp;D22&amp;"|ALLOWANCE",Notes!$E$3:$E$52,0))&amp;" ","")))</f>
        <v/>
      </c>
    </row>
    <row r="23">
      <c r="A23" s="2" t="n">
        <v>22</v>
      </c>
      <c r="B23" s="2">
        <f>IFERROR(MATCH(A23,Lines!$AG$2:$AG$500,0),"")</f>
        <v/>
      </c>
      <c r="C23" s="2">
        <f>IF(B23="","",INDEX(Lines!$B$2:$B$500,B23))</f>
        <v/>
      </c>
      <c r="D23" s="2">
        <f>IF(B23="","",INDEX(Lines!$C$2:$C$500,B23))</f>
        <v/>
      </c>
      <c r="E23" s="9">
        <f>IF(C23="","",SUMIFS(Lines!$N$2:$N$500,Lines!$B$2:$B$500,C23,Lines!$C$2:$C$500,D23,Lines!$A$2:$A$500,"line",Lines!$X$2:$X$500,"LABOUR_ALL",Lines!$D$2:$D$500,"quote"))</f>
        <v/>
      </c>
      <c r="F23" s="9">
        <f>IF(C23="","",SUMIFS(Lines!$N$2:$N$500,Lines!$B$2:$B$500,C23,Lines!$C$2:$C$500,D23,Lines!$A$2:$A$500,"line",Lines!$X$2:$X$500,"LABOUR_ALL",Lines!$D$2:$D$500,"invoice"))</f>
        <v/>
      </c>
      <c r="G23" s="9">
        <f>IF(C23="","",F23-E23)</f>
        <v/>
      </c>
      <c r="H23" s="10">
        <f>IF(C23="","",IFERROR(G23/E23,""))</f>
        <v/>
      </c>
      <c r="I23" s="9">
        <f>IF(C23="","",SUMIFS(Lines!$N$2:$N$500,Lines!$B$2:$B$500,C23,Lines!$C$2:$C$500,D23,Lines!$A$2:$A$500,"line",Lines!$O$2:$O$500,"INSTALL",Lines!$D$2:$D$500,"quote"))</f>
        <v/>
      </c>
      <c r="J23" s="9">
        <f>IF(C23="","",SUMIFS(Lines!$N$2:$N$500,Lines!$B$2:$B$500,C23,Lines!$C$2:$C$500,D23,Lines!$A$2:$A$500,"line",Lines!$O$2:$O$500,"INSTALL",Lines!$D$2:$D$500,"invoice"))</f>
        <v/>
      </c>
      <c r="K23" s="9">
        <f>IF(C23="","",J23-I23)</f>
        <v/>
      </c>
      <c r="L23" s="10">
        <f>IF(C23="","",IFERROR(K23/I23,""))</f>
        <v/>
      </c>
      <c r="M23" s="9">
        <f>IF(C23="","",SUMIFS(Lines!$N$2:$N$500,Lines!$B$2:$B$500,C23,Lines!$C$2:$C$500,D23,Lines!$A$2:$A$500,"line",Lines!$O$2:$O$500,"PRODUCT",Lines!$D$2:$D$500,"quote"))</f>
        <v/>
      </c>
      <c r="N23" s="9">
        <f>IF(C23="","",SUMIFS(Lines!$N$2:$N$500,Lines!$B$2:$B$500,C23,Lines!$C$2:$C$500,D23,Lines!$A$2:$A$500,"line",Lines!$O$2:$O$500,"PRODUCT",Lines!$D$2:$D$500,"invoice"))</f>
        <v/>
      </c>
      <c r="O23" s="9">
        <f>IF(C23="","",N23-M23)</f>
        <v/>
      </c>
      <c r="P23" s="10">
        <f>IF(C23="","",IFERROR(O23/M23,""))</f>
        <v/>
      </c>
      <c r="Q23" s="9">
        <f>IF(C23="","",SUMIFS(Lines!$N$2:$N$500,Lines!$B$2:$B$500,C23,Lines!$C$2:$C$500,D23,Lines!$A$2:$A$500,"line",Lines!$O$2:$O$500,"ALLOWANCE",Lines!$D$2:$D$500,"quote"))</f>
        <v/>
      </c>
      <c r="R23" s="9">
        <f>IF(C23="","",SUMIFS(Lines!$N$2:$N$500,Lines!$B$2:$B$500,C23,Lines!$C$2:$C$500,D23,Lines!$A$2:$A$500,"line",Lines!$O$2:$O$500,"ALLOWANCE",Lines!$D$2:$D$500,"invoice"))</f>
        <v/>
      </c>
      <c r="S23" s="9">
        <f>IF(C23="","",R23-Q23)</f>
        <v/>
      </c>
      <c r="T23" s="10">
        <f>IF(C23="","",IFERROR(S23/Q23,""))</f>
        <v/>
      </c>
      <c r="U23" s="2">
        <f>IF(C23="","",COUNTIFS(Docs!$D$2:$D$51,C23,Docs!$E$2:$E$51,D23,Docs!$F$2:$F$51,"invoice"))</f>
        <v/>
      </c>
      <c r="V23" s="2">
        <f>IF(C23="","",IF(U23=0,"N/A - pending",IF(MAX(ABS(G23),ABS(K23),ABS(O23),ABS(S23))&gt;Settings!$B$2,"Y","N")))</f>
        <v/>
      </c>
      <c r="W23" s="2">
        <f>IF(C23="","",TRIM(IFERROR("LABOUR_ALL: "&amp;INDEX(Notes!$D$3:$D$52,MATCH(C23&amp;"|"&amp;D23&amp;"|LABOUR_ALL",Notes!$E$3:$E$52,0))&amp;" ","")&amp;IFERROR("INSTALL: "&amp;INDEX(Notes!$D$3:$D$52,MATCH(C23&amp;"|"&amp;D23&amp;"|INSTALL",Notes!$E$3:$E$52,0))&amp;" ","")&amp;IFERROR("PRODUCT: "&amp;INDEX(Notes!$D$3:$D$52,MATCH(C23&amp;"|"&amp;D23&amp;"|PRODUCT",Notes!$E$3:$E$52,0))&amp;" ","")&amp;IFERROR("ALLOWANCE: "&amp;INDEX(Notes!$D$3:$D$52,MATCH(C23&amp;"|"&amp;D23&amp;"|ALLOWANCE",Notes!$E$3:$E$52,0))&amp;" ","")))</f>
        <v/>
      </c>
    </row>
    <row r="24">
      <c r="A24" s="2" t="n">
        <v>23</v>
      </c>
      <c r="B24" s="2">
        <f>IFERROR(MATCH(A24,Lines!$AG$2:$AG$500,0),"")</f>
        <v/>
      </c>
      <c r="C24" s="2">
        <f>IF(B24="","",INDEX(Lines!$B$2:$B$500,B24))</f>
        <v/>
      </c>
      <c r="D24" s="2">
        <f>IF(B24="","",INDEX(Lines!$C$2:$C$500,B24))</f>
        <v/>
      </c>
      <c r="E24" s="9">
        <f>IF(C24="","",SUMIFS(Lines!$N$2:$N$500,Lines!$B$2:$B$500,C24,Lines!$C$2:$C$500,D24,Lines!$A$2:$A$500,"line",Lines!$X$2:$X$500,"LABOUR_ALL",Lines!$D$2:$D$500,"quote"))</f>
        <v/>
      </c>
      <c r="F24" s="9">
        <f>IF(C24="","",SUMIFS(Lines!$N$2:$N$500,Lines!$B$2:$B$500,C24,Lines!$C$2:$C$500,D24,Lines!$A$2:$A$500,"line",Lines!$X$2:$X$500,"LABOUR_ALL",Lines!$D$2:$D$500,"invoice"))</f>
        <v/>
      </c>
      <c r="G24" s="9">
        <f>IF(C24="","",F24-E24)</f>
        <v/>
      </c>
      <c r="H24" s="10">
        <f>IF(C24="","",IFERROR(G24/E24,""))</f>
        <v/>
      </c>
      <c r="I24" s="9">
        <f>IF(C24="","",SUMIFS(Lines!$N$2:$N$500,Lines!$B$2:$B$500,C24,Lines!$C$2:$C$500,D24,Lines!$A$2:$A$500,"line",Lines!$O$2:$O$500,"INSTALL",Lines!$D$2:$D$500,"quote"))</f>
        <v/>
      </c>
      <c r="J24" s="9">
        <f>IF(C24="","",SUMIFS(Lines!$N$2:$N$500,Lines!$B$2:$B$500,C24,Lines!$C$2:$C$500,D24,Lines!$A$2:$A$500,"line",Lines!$O$2:$O$500,"INSTALL",Lines!$D$2:$D$500,"invoice"))</f>
        <v/>
      </c>
      <c r="K24" s="9">
        <f>IF(C24="","",J24-I24)</f>
        <v/>
      </c>
      <c r="L24" s="10">
        <f>IF(C24="","",IFERROR(K24/I24,""))</f>
        <v/>
      </c>
      <c r="M24" s="9">
        <f>IF(C24="","",SUMIFS(Lines!$N$2:$N$500,Lines!$B$2:$B$500,C24,Lines!$C$2:$C$500,D24,Lines!$A$2:$A$500,"line",Lines!$O$2:$O$500,"PRODUCT",Lines!$D$2:$D$500,"quote"))</f>
        <v/>
      </c>
      <c r="N24" s="9">
        <f>IF(C24="","",SUMIFS(Lines!$N$2:$N$500,Lines!$B$2:$B$500,C24,Lines!$C$2:$C$500,D24,Lines!$A$2:$A$500,"line",Lines!$O$2:$O$500,"PRODUCT",Lines!$D$2:$D$500,"invoice"))</f>
        <v/>
      </c>
      <c r="O24" s="9">
        <f>IF(C24="","",N24-M24)</f>
        <v/>
      </c>
      <c r="P24" s="10">
        <f>IF(C24="","",IFERROR(O24/M24,""))</f>
        <v/>
      </c>
      <c r="Q24" s="9">
        <f>IF(C24="","",SUMIFS(Lines!$N$2:$N$500,Lines!$B$2:$B$500,C24,Lines!$C$2:$C$500,D24,Lines!$A$2:$A$500,"line",Lines!$O$2:$O$500,"ALLOWANCE",Lines!$D$2:$D$500,"quote"))</f>
        <v/>
      </c>
      <c r="R24" s="9">
        <f>IF(C24="","",SUMIFS(Lines!$N$2:$N$500,Lines!$B$2:$B$500,C24,Lines!$C$2:$C$500,D24,Lines!$A$2:$A$500,"line",Lines!$O$2:$O$500,"ALLOWANCE",Lines!$D$2:$D$500,"invoice"))</f>
        <v/>
      </c>
      <c r="S24" s="9">
        <f>IF(C24="","",R24-Q24)</f>
        <v/>
      </c>
      <c r="T24" s="10">
        <f>IF(C24="","",IFERROR(S24/Q24,""))</f>
        <v/>
      </c>
      <c r="U24" s="2">
        <f>IF(C24="","",COUNTIFS(Docs!$D$2:$D$51,C24,Docs!$E$2:$E$51,D24,Docs!$F$2:$F$51,"invoice"))</f>
        <v/>
      </c>
      <c r="V24" s="2">
        <f>IF(C24="","",IF(U24=0,"N/A - pending",IF(MAX(ABS(G24),ABS(K24),ABS(O24),ABS(S24))&gt;Settings!$B$2,"Y","N")))</f>
        <v/>
      </c>
      <c r="W24" s="2">
        <f>IF(C24="","",TRIM(IFERROR("LABOUR_ALL: "&amp;INDEX(Notes!$D$3:$D$52,MATCH(C24&amp;"|"&amp;D24&amp;"|LABOUR_ALL",Notes!$E$3:$E$52,0))&amp;" ","")&amp;IFERROR("INSTALL: "&amp;INDEX(Notes!$D$3:$D$52,MATCH(C24&amp;"|"&amp;D24&amp;"|INSTALL",Notes!$E$3:$E$52,0))&amp;" ","")&amp;IFERROR("PRODUCT: "&amp;INDEX(Notes!$D$3:$D$52,MATCH(C24&amp;"|"&amp;D24&amp;"|PRODUCT",Notes!$E$3:$E$52,0))&amp;" ","")&amp;IFERROR("ALLOWANCE: "&amp;INDEX(Notes!$D$3:$D$52,MATCH(C24&amp;"|"&amp;D24&amp;"|ALLOWANCE",Notes!$E$3:$E$52,0))&amp;" ","")))</f>
        <v/>
      </c>
    </row>
    <row r="25">
      <c r="A25" s="2" t="n">
        <v>24</v>
      </c>
      <c r="B25" s="2">
        <f>IFERROR(MATCH(A25,Lines!$AG$2:$AG$500,0),"")</f>
        <v/>
      </c>
      <c r="C25" s="2">
        <f>IF(B25="","",INDEX(Lines!$B$2:$B$500,B25))</f>
        <v/>
      </c>
      <c r="D25" s="2">
        <f>IF(B25="","",INDEX(Lines!$C$2:$C$500,B25))</f>
        <v/>
      </c>
      <c r="E25" s="9">
        <f>IF(C25="","",SUMIFS(Lines!$N$2:$N$500,Lines!$B$2:$B$500,C25,Lines!$C$2:$C$500,D25,Lines!$A$2:$A$500,"line",Lines!$X$2:$X$500,"LABOUR_ALL",Lines!$D$2:$D$500,"quote"))</f>
        <v/>
      </c>
      <c r="F25" s="9">
        <f>IF(C25="","",SUMIFS(Lines!$N$2:$N$500,Lines!$B$2:$B$500,C25,Lines!$C$2:$C$500,D25,Lines!$A$2:$A$500,"line",Lines!$X$2:$X$500,"LABOUR_ALL",Lines!$D$2:$D$500,"invoice"))</f>
        <v/>
      </c>
      <c r="G25" s="9">
        <f>IF(C25="","",F25-E25)</f>
        <v/>
      </c>
      <c r="H25" s="10">
        <f>IF(C25="","",IFERROR(G25/E25,""))</f>
        <v/>
      </c>
      <c r="I25" s="9">
        <f>IF(C25="","",SUMIFS(Lines!$N$2:$N$500,Lines!$B$2:$B$500,C25,Lines!$C$2:$C$500,D25,Lines!$A$2:$A$500,"line",Lines!$O$2:$O$500,"INSTALL",Lines!$D$2:$D$500,"quote"))</f>
        <v/>
      </c>
      <c r="J25" s="9">
        <f>IF(C25="","",SUMIFS(Lines!$N$2:$N$500,Lines!$B$2:$B$500,C25,Lines!$C$2:$C$500,D25,Lines!$A$2:$A$500,"line",Lines!$O$2:$O$500,"INSTALL",Lines!$D$2:$D$500,"invoice"))</f>
        <v/>
      </c>
      <c r="K25" s="9">
        <f>IF(C25="","",J25-I25)</f>
        <v/>
      </c>
      <c r="L25" s="10">
        <f>IF(C25="","",IFERROR(K25/I25,""))</f>
        <v/>
      </c>
      <c r="M25" s="9">
        <f>IF(C25="","",SUMIFS(Lines!$N$2:$N$500,Lines!$B$2:$B$500,C25,Lines!$C$2:$C$500,D25,Lines!$A$2:$A$500,"line",Lines!$O$2:$O$500,"PRODUCT",Lines!$D$2:$D$500,"quote"))</f>
        <v/>
      </c>
      <c r="N25" s="9">
        <f>IF(C25="","",SUMIFS(Lines!$N$2:$N$500,Lines!$B$2:$B$500,C25,Lines!$C$2:$C$500,D25,Lines!$A$2:$A$500,"line",Lines!$O$2:$O$500,"PRODUCT",Lines!$D$2:$D$500,"invoice"))</f>
        <v/>
      </c>
      <c r="O25" s="9">
        <f>IF(C25="","",N25-M25)</f>
        <v/>
      </c>
      <c r="P25" s="10">
        <f>IF(C25="","",IFERROR(O25/M25,""))</f>
        <v/>
      </c>
      <c r="Q25" s="9">
        <f>IF(C25="","",SUMIFS(Lines!$N$2:$N$500,Lines!$B$2:$B$500,C25,Lines!$C$2:$C$500,D25,Lines!$A$2:$A$500,"line",Lines!$O$2:$O$500,"ALLOWANCE",Lines!$D$2:$D$500,"quote"))</f>
        <v/>
      </c>
      <c r="R25" s="9">
        <f>IF(C25="","",SUMIFS(Lines!$N$2:$N$500,Lines!$B$2:$B$500,C25,Lines!$C$2:$C$500,D25,Lines!$A$2:$A$500,"line",Lines!$O$2:$O$500,"ALLOWANCE",Lines!$D$2:$D$500,"invoice"))</f>
        <v/>
      </c>
      <c r="S25" s="9">
        <f>IF(C25="","",R25-Q25)</f>
        <v/>
      </c>
      <c r="T25" s="10">
        <f>IF(C25="","",IFERROR(S25/Q25,""))</f>
        <v/>
      </c>
      <c r="U25" s="2">
        <f>IF(C25="","",COUNTIFS(Docs!$D$2:$D$51,C25,Docs!$E$2:$E$51,D25,Docs!$F$2:$F$51,"invoice"))</f>
        <v/>
      </c>
      <c r="V25" s="2">
        <f>IF(C25="","",IF(U25=0,"N/A - pending",IF(MAX(ABS(G25),ABS(K25),ABS(O25),ABS(S25))&gt;Settings!$B$2,"Y","N")))</f>
        <v/>
      </c>
      <c r="W25" s="2">
        <f>IF(C25="","",TRIM(IFERROR("LABOUR_ALL: "&amp;INDEX(Notes!$D$3:$D$52,MATCH(C25&amp;"|"&amp;D25&amp;"|LABOUR_ALL",Notes!$E$3:$E$52,0))&amp;" ","")&amp;IFERROR("INSTALL: "&amp;INDEX(Notes!$D$3:$D$52,MATCH(C25&amp;"|"&amp;D25&amp;"|INSTALL",Notes!$E$3:$E$52,0))&amp;" ","")&amp;IFERROR("PRODUCT: "&amp;INDEX(Notes!$D$3:$D$52,MATCH(C25&amp;"|"&amp;D25&amp;"|PRODUCT",Notes!$E$3:$E$52,0))&amp;" ","")&amp;IFERROR("ALLOWANCE: "&amp;INDEX(Notes!$D$3:$D$52,MATCH(C25&amp;"|"&amp;D25&amp;"|ALLOWANCE",Notes!$E$3:$E$52,0))&amp;" ","")))</f>
        <v/>
      </c>
    </row>
    <row r="26">
      <c r="A26" s="2" t="n">
        <v>25</v>
      </c>
      <c r="B26" s="2">
        <f>IFERROR(MATCH(A26,Lines!$AG$2:$AG$500,0),"")</f>
        <v/>
      </c>
      <c r="C26" s="2">
        <f>IF(B26="","",INDEX(Lines!$B$2:$B$500,B26))</f>
        <v/>
      </c>
      <c r="D26" s="2">
        <f>IF(B26="","",INDEX(Lines!$C$2:$C$500,B26))</f>
        <v/>
      </c>
      <c r="E26" s="9">
        <f>IF(C26="","",SUMIFS(Lines!$N$2:$N$500,Lines!$B$2:$B$500,C26,Lines!$C$2:$C$500,D26,Lines!$A$2:$A$500,"line",Lines!$X$2:$X$500,"LABOUR_ALL",Lines!$D$2:$D$500,"quote"))</f>
        <v/>
      </c>
      <c r="F26" s="9">
        <f>IF(C26="","",SUMIFS(Lines!$N$2:$N$500,Lines!$B$2:$B$500,C26,Lines!$C$2:$C$500,D26,Lines!$A$2:$A$500,"line",Lines!$X$2:$X$500,"LABOUR_ALL",Lines!$D$2:$D$500,"invoice"))</f>
        <v/>
      </c>
      <c r="G26" s="9">
        <f>IF(C26="","",F26-E26)</f>
        <v/>
      </c>
      <c r="H26" s="10">
        <f>IF(C26="","",IFERROR(G26/E26,""))</f>
        <v/>
      </c>
      <c r="I26" s="9">
        <f>IF(C26="","",SUMIFS(Lines!$N$2:$N$500,Lines!$B$2:$B$500,C26,Lines!$C$2:$C$500,D26,Lines!$A$2:$A$500,"line",Lines!$O$2:$O$500,"INSTALL",Lines!$D$2:$D$500,"quote"))</f>
        <v/>
      </c>
      <c r="J26" s="9">
        <f>IF(C26="","",SUMIFS(Lines!$N$2:$N$500,Lines!$B$2:$B$500,C26,Lines!$C$2:$C$500,D26,Lines!$A$2:$A$500,"line",Lines!$O$2:$O$500,"INSTALL",Lines!$D$2:$D$500,"invoice"))</f>
        <v/>
      </c>
      <c r="K26" s="9">
        <f>IF(C26="","",J26-I26)</f>
        <v/>
      </c>
      <c r="L26" s="10">
        <f>IF(C26="","",IFERROR(K26/I26,""))</f>
        <v/>
      </c>
      <c r="M26" s="9">
        <f>IF(C26="","",SUMIFS(Lines!$N$2:$N$500,Lines!$B$2:$B$500,C26,Lines!$C$2:$C$500,D26,Lines!$A$2:$A$500,"line",Lines!$O$2:$O$500,"PRODUCT",Lines!$D$2:$D$500,"quote"))</f>
        <v/>
      </c>
      <c r="N26" s="9">
        <f>IF(C26="","",SUMIFS(Lines!$N$2:$N$500,Lines!$B$2:$B$500,C26,Lines!$C$2:$C$500,D26,Lines!$A$2:$A$500,"line",Lines!$O$2:$O$500,"PRODUCT",Lines!$D$2:$D$500,"invoice"))</f>
        <v/>
      </c>
      <c r="O26" s="9">
        <f>IF(C26="","",N26-M26)</f>
        <v/>
      </c>
      <c r="P26" s="10">
        <f>IF(C26="","",IFERROR(O26/M26,""))</f>
        <v/>
      </c>
      <c r="Q26" s="9">
        <f>IF(C26="","",SUMIFS(Lines!$N$2:$N$500,Lines!$B$2:$B$500,C26,Lines!$C$2:$C$500,D26,Lines!$A$2:$A$500,"line",Lines!$O$2:$O$500,"ALLOWANCE",Lines!$D$2:$D$500,"quote"))</f>
        <v/>
      </c>
      <c r="R26" s="9">
        <f>IF(C26="","",SUMIFS(Lines!$N$2:$N$500,Lines!$B$2:$B$500,C26,Lines!$C$2:$C$500,D26,Lines!$A$2:$A$500,"line",Lines!$O$2:$O$500,"ALLOWANCE",Lines!$D$2:$D$500,"invoice"))</f>
        <v/>
      </c>
      <c r="S26" s="9">
        <f>IF(C26="","",R26-Q26)</f>
        <v/>
      </c>
      <c r="T26" s="10">
        <f>IF(C26="","",IFERROR(S26/Q26,""))</f>
        <v/>
      </c>
      <c r="U26" s="2">
        <f>IF(C26="","",COUNTIFS(Docs!$D$2:$D$51,C26,Docs!$E$2:$E$51,D26,Docs!$F$2:$F$51,"invoice"))</f>
        <v/>
      </c>
      <c r="V26" s="2">
        <f>IF(C26="","",IF(U26=0,"N/A - pending",IF(MAX(ABS(G26),ABS(K26),ABS(O26),ABS(S26))&gt;Settings!$B$2,"Y","N")))</f>
        <v/>
      </c>
      <c r="W26" s="2">
        <f>IF(C26="","",TRIM(IFERROR("LABOUR_ALL: "&amp;INDEX(Notes!$D$3:$D$52,MATCH(C26&amp;"|"&amp;D26&amp;"|LABOUR_ALL",Notes!$E$3:$E$52,0))&amp;" ","")&amp;IFERROR("INSTALL: "&amp;INDEX(Notes!$D$3:$D$52,MATCH(C26&amp;"|"&amp;D26&amp;"|INSTALL",Notes!$E$3:$E$52,0))&amp;" ","")&amp;IFERROR("PRODUCT: "&amp;INDEX(Notes!$D$3:$D$52,MATCH(C26&amp;"|"&amp;D26&amp;"|PRODUCT",Notes!$E$3:$E$52,0))&amp;" ","")&amp;IFERROR("ALLOWANCE: "&amp;INDEX(Notes!$D$3:$D$52,MATCH(C26&amp;"|"&amp;D26&amp;"|ALLOWANCE",Notes!$E$3:$E$52,0))&amp;" ","")))</f>
        <v/>
      </c>
    </row>
    <row r="27">
      <c r="A27" s="2" t="n">
        <v>26</v>
      </c>
      <c r="B27" s="2">
        <f>IFERROR(MATCH(A27,Lines!$AG$2:$AG$500,0),"")</f>
        <v/>
      </c>
      <c r="C27" s="2">
        <f>IF(B27="","",INDEX(Lines!$B$2:$B$500,B27))</f>
        <v/>
      </c>
      <c r="D27" s="2">
        <f>IF(B27="","",INDEX(Lines!$C$2:$C$500,B27))</f>
        <v/>
      </c>
      <c r="E27" s="9">
        <f>IF(C27="","",SUMIFS(Lines!$N$2:$N$500,Lines!$B$2:$B$500,C27,Lines!$C$2:$C$500,D27,Lines!$A$2:$A$500,"line",Lines!$X$2:$X$500,"LABOUR_ALL",Lines!$D$2:$D$500,"quote"))</f>
        <v/>
      </c>
      <c r="F27" s="9">
        <f>IF(C27="","",SUMIFS(Lines!$N$2:$N$500,Lines!$B$2:$B$500,C27,Lines!$C$2:$C$500,D27,Lines!$A$2:$A$500,"line",Lines!$X$2:$X$500,"LABOUR_ALL",Lines!$D$2:$D$500,"invoice"))</f>
        <v/>
      </c>
      <c r="G27" s="9">
        <f>IF(C27="","",F27-E27)</f>
        <v/>
      </c>
      <c r="H27" s="10">
        <f>IF(C27="","",IFERROR(G27/E27,""))</f>
        <v/>
      </c>
      <c r="I27" s="9">
        <f>IF(C27="","",SUMIFS(Lines!$N$2:$N$500,Lines!$B$2:$B$500,C27,Lines!$C$2:$C$500,D27,Lines!$A$2:$A$500,"line",Lines!$O$2:$O$500,"INSTALL",Lines!$D$2:$D$500,"quote"))</f>
        <v/>
      </c>
      <c r="J27" s="9">
        <f>IF(C27="","",SUMIFS(Lines!$N$2:$N$500,Lines!$B$2:$B$500,C27,Lines!$C$2:$C$500,D27,Lines!$A$2:$A$500,"line",Lines!$O$2:$O$500,"INSTALL",Lines!$D$2:$D$500,"invoice"))</f>
        <v/>
      </c>
      <c r="K27" s="9">
        <f>IF(C27="","",J27-I27)</f>
        <v/>
      </c>
      <c r="L27" s="10">
        <f>IF(C27="","",IFERROR(K27/I27,""))</f>
        <v/>
      </c>
      <c r="M27" s="9">
        <f>IF(C27="","",SUMIFS(Lines!$N$2:$N$500,Lines!$B$2:$B$500,C27,Lines!$C$2:$C$500,D27,Lines!$A$2:$A$500,"line",Lines!$O$2:$O$500,"PRODUCT",Lines!$D$2:$D$500,"quote"))</f>
        <v/>
      </c>
      <c r="N27" s="9">
        <f>IF(C27="","",SUMIFS(Lines!$N$2:$N$500,Lines!$B$2:$B$500,C27,Lines!$C$2:$C$500,D27,Lines!$A$2:$A$500,"line",Lines!$O$2:$O$500,"PRODUCT",Lines!$D$2:$D$500,"invoice"))</f>
        <v/>
      </c>
      <c r="O27" s="9">
        <f>IF(C27="","",N27-M27)</f>
        <v/>
      </c>
      <c r="P27" s="10">
        <f>IF(C27="","",IFERROR(O27/M27,""))</f>
        <v/>
      </c>
      <c r="Q27" s="9">
        <f>IF(C27="","",SUMIFS(Lines!$N$2:$N$500,Lines!$B$2:$B$500,C27,Lines!$C$2:$C$500,D27,Lines!$A$2:$A$500,"line",Lines!$O$2:$O$500,"ALLOWANCE",Lines!$D$2:$D$500,"quote"))</f>
        <v/>
      </c>
      <c r="R27" s="9">
        <f>IF(C27="","",SUMIFS(Lines!$N$2:$N$500,Lines!$B$2:$B$500,C27,Lines!$C$2:$C$500,D27,Lines!$A$2:$A$500,"line",Lines!$O$2:$O$500,"ALLOWANCE",Lines!$D$2:$D$500,"invoice"))</f>
        <v/>
      </c>
      <c r="S27" s="9">
        <f>IF(C27="","",R27-Q27)</f>
        <v/>
      </c>
      <c r="T27" s="10">
        <f>IF(C27="","",IFERROR(S27/Q27,""))</f>
        <v/>
      </c>
      <c r="U27" s="2">
        <f>IF(C27="","",COUNTIFS(Docs!$D$2:$D$51,C27,Docs!$E$2:$E$51,D27,Docs!$F$2:$F$51,"invoice"))</f>
        <v/>
      </c>
      <c r="V27" s="2">
        <f>IF(C27="","",IF(U27=0,"N/A - pending",IF(MAX(ABS(G27),ABS(K27),ABS(O27),ABS(S27))&gt;Settings!$B$2,"Y","N")))</f>
        <v/>
      </c>
      <c r="W27" s="2">
        <f>IF(C27="","",TRIM(IFERROR("LABOUR_ALL: "&amp;INDEX(Notes!$D$3:$D$52,MATCH(C27&amp;"|"&amp;D27&amp;"|LABOUR_ALL",Notes!$E$3:$E$52,0))&amp;" ","")&amp;IFERROR("INSTALL: "&amp;INDEX(Notes!$D$3:$D$52,MATCH(C27&amp;"|"&amp;D27&amp;"|INSTALL",Notes!$E$3:$E$52,0))&amp;" ","")&amp;IFERROR("PRODUCT: "&amp;INDEX(Notes!$D$3:$D$52,MATCH(C27&amp;"|"&amp;D27&amp;"|PRODUCT",Notes!$E$3:$E$52,0))&amp;" ","")&amp;IFERROR("ALLOWANCE: "&amp;INDEX(Notes!$D$3:$D$52,MATCH(C27&amp;"|"&amp;D27&amp;"|ALLOWANCE",Notes!$E$3:$E$52,0))&amp;" ","")))</f>
        <v/>
      </c>
    </row>
    <row r="28">
      <c r="A28" s="2" t="n">
        <v>27</v>
      </c>
      <c r="B28" s="2">
        <f>IFERROR(MATCH(A28,Lines!$AG$2:$AG$500,0),"")</f>
        <v/>
      </c>
      <c r="C28" s="2">
        <f>IF(B28="","",INDEX(Lines!$B$2:$B$500,B28))</f>
        <v/>
      </c>
      <c r="D28" s="2">
        <f>IF(B28="","",INDEX(Lines!$C$2:$C$500,B28))</f>
        <v/>
      </c>
      <c r="E28" s="9">
        <f>IF(C28="","",SUMIFS(Lines!$N$2:$N$500,Lines!$B$2:$B$500,C28,Lines!$C$2:$C$500,D28,Lines!$A$2:$A$500,"line",Lines!$X$2:$X$500,"LABOUR_ALL",Lines!$D$2:$D$500,"quote"))</f>
        <v/>
      </c>
      <c r="F28" s="9">
        <f>IF(C28="","",SUMIFS(Lines!$N$2:$N$500,Lines!$B$2:$B$500,C28,Lines!$C$2:$C$500,D28,Lines!$A$2:$A$500,"line",Lines!$X$2:$X$500,"LABOUR_ALL",Lines!$D$2:$D$500,"invoice"))</f>
        <v/>
      </c>
      <c r="G28" s="9">
        <f>IF(C28="","",F28-E28)</f>
        <v/>
      </c>
      <c r="H28" s="10">
        <f>IF(C28="","",IFERROR(G28/E28,""))</f>
        <v/>
      </c>
      <c r="I28" s="9">
        <f>IF(C28="","",SUMIFS(Lines!$N$2:$N$500,Lines!$B$2:$B$500,C28,Lines!$C$2:$C$500,D28,Lines!$A$2:$A$500,"line",Lines!$O$2:$O$500,"INSTALL",Lines!$D$2:$D$500,"quote"))</f>
        <v/>
      </c>
      <c r="J28" s="9">
        <f>IF(C28="","",SUMIFS(Lines!$N$2:$N$500,Lines!$B$2:$B$500,C28,Lines!$C$2:$C$500,D28,Lines!$A$2:$A$500,"line",Lines!$O$2:$O$500,"INSTALL",Lines!$D$2:$D$500,"invoice"))</f>
        <v/>
      </c>
      <c r="K28" s="9">
        <f>IF(C28="","",J28-I28)</f>
        <v/>
      </c>
      <c r="L28" s="10">
        <f>IF(C28="","",IFERROR(K28/I28,""))</f>
        <v/>
      </c>
      <c r="M28" s="9">
        <f>IF(C28="","",SUMIFS(Lines!$N$2:$N$500,Lines!$B$2:$B$500,C28,Lines!$C$2:$C$500,D28,Lines!$A$2:$A$500,"line",Lines!$O$2:$O$500,"PRODUCT",Lines!$D$2:$D$500,"quote"))</f>
        <v/>
      </c>
      <c r="N28" s="9">
        <f>IF(C28="","",SUMIFS(Lines!$N$2:$N$500,Lines!$B$2:$B$500,C28,Lines!$C$2:$C$500,D28,Lines!$A$2:$A$500,"line",Lines!$O$2:$O$500,"PRODUCT",Lines!$D$2:$D$500,"invoice"))</f>
        <v/>
      </c>
      <c r="O28" s="9">
        <f>IF(C28="","",N28-M28)</f>
        <v/>
      </c>
      <c r="P28" s="10">
        <f>IF(C28="","",IFERROR(O28/M28,""))</f>
        <v/>
      </c>
      <c r="Q28" s="9">
        <f>IF(C28="","",SUMIFS(Lines!$N$2:$N$500,Lines!$B$2:$B$500,C28,Lines!$C$2:$C$500,D28,Lines!$A$2:$A$500,"line",Lines!$O$2:$O$500,"ALLOWANCE",Lines!$D$2:$D$500,"quote"))</f>
        <v/>
      </c>
      <c r="R28" s="9">
        <f>IF(C28="","",SUMIFS(Lines!$N$2:$N$500,Lines!$B$2:$B$500,C28,Lines!$C$2:$C$500,D28,Lines!$A$2:$A$500,"line",Lines!$O$2:$O$500,"ALLOWANCE",Lines!$D$2:$D$500,"invoice"))</f>
        <v/>
      </c>
      <c r="S28" s="9">
        <f>IF(C28="","",R28-Q28)</f>
        <v/>
      </c>
      <c r="T28" s="10">
        <f>IF(C28="","",IFERROR(S28/Q28,""))</f>
        <v/>
      </c>
      <c r="U28" s="2">
        <f>IF(C28="","",COUNTIFS(Docs!$D$2:$D$51,C28,Docs!$E$2:$E$51,D28,Docs!$F$2:$F$51,"invoice"))</f>
        <v/>
      </c>
      <c r="V28" s="2">
        <f>IF(C28="","",IF(U28=0,"N/A - pending",IF(MAX(ABS(G28),ABS(K28),ABS(O28),ABS(S28))&gt;Settings!$B$2,"Y","N")))</f>
        <v/>
      </c>
      <c r="W28" s="2">
        <f>IF(C28="","",TRIM(IFERROR("LABOUR_ALL: "&amp;INDEX(Notes!$D$3:$D$52,MATCH(C28&amp;"|"&amp;D28&amp;"|LABOUR_ALL",Notes!$E$3:$E$52,0))&amp;" ","")&amp;IFERROR("INSTALL: "&amp;INDEX(Notes!$D$3:$D$52,MATCH(C28&amp;"|"&amp;D28&amp;"|INSTALL",Notes!$E$3:$E$52,0))&amp;" ","")&amp;IFERROR("PRODUCT: "&amp;INDEX(Notes!$D$3:$D$52,MATCH(C28&amp;"|"&amp;D28&amp;"|PRODUCT",Notes!$E$3:$E$52,0))&amp;" ","")&amp;IFERROR("ALLOWANCE: "&amp;INDEX(Notes!$D$3:$D$52,MATCH(C28&amp;"|"&amp;D28&amp;"|ALLOWANCE",Notes!$E$3:$E$52,0))&amp;" ","")))</f>
        <v/>
      </c>
    </row>
    <row r="29">
      <c r="A29" s="2" t="n">
        <v>28</v>
      </c>
      <c r="B29" s="2">
        <f>IFERROR(MATCH(A29,Lines!$AG$2:$AG$500,0),"")</f>
        <v/>
      </c>
      <c r="C29" s="2">
        <f>IF(B29="","",INDEX(Lines!$B$2:$B$500,B29))</f>
        <v/>
      </c>
      <c r="D29" s="2">
        <f>IF(B29="","",INDEX(Lines!$C$2:$C$500,B29))</f>
        <v/>
      </c>
      <c r="E29" s="9">
        <f>IF(C29="","",SUMIFS(Lines!$N$2:$N$500,Lines!$B$2:$B$500,C29,Lines!$C$2:$C$500,D29,Lines!$A$2:$A$500,"line",Lines!$X$2:$X$500,"LABOUR_ALL",Lines!$D$2:$D$500,"quote"))</f>
        <v/>
      </c>
      <c r="F29" s="9">
        <f>IF(C29="","",SUMIFS(Lines!$N$2:$N$500,Lines!$B$2:$B$500,C29,Lines!$C$2:$C$500,D29,Lines!$A$2:$A$500,"line",Lines!$X$2:$X$500,"LABOUR_ALL",Lines!$D$2:$D$500,"invoice"))</f>
        <v/>
      </c>
      <c r="G29" s="9">
        <f>IF(C29="","",F29-E29)</f>
        <v/>
      </c>
      <c r="H29" s="10">
        <f>IF(C29="","",IFERROR(G29/E29,""))</f>
        <v/>
      </c>
      <c r="I29" s="9">
        <f>IF(C29="","",SUMIFS(Lines!$N$2:$N$500,Lines!$B$2:$B$500,C29,Lines!$C$2:$C$500,D29,Lines!$A$2:$A$500,"line",Lines!$O$2:$O$500,"INSTALL",Lines!$D$2:$D$500,"quote"))</f>
        <v/>
      </c>
      <c r="J29" s="9">
        <f>IF(C29="","",SUMIFS(Lines!$N$2:$N$500,Lines!$B$2:$B$500,C29,Lines!$C$2:$C$500,D29,Lines!$A$2:$A$500,"line",Lines!$O$2:$O$500,"INSTALL",Lines!$D$2:$D$500,"invoice"))</f>
        <v/>
      </c>
      <c r="K29" s="9">
        <f>IF(C29="","",J29-I29)</f>
        <v/>
      </c>
      <c r="L29" s="10">
        <f>IF(C29="","",IFERROR(K29/I29,""))</f>
        <v/>
      </c>
      <c r="M29" s="9">
        <f>IF(C29="","",SUMIFS(Lines!$N$2:$N$500,Lines!$B$2:$B$500,C29,Lines!$C$2:$C$500,D29,Lines!$A$2:$A$500,"line",Lines!$O$2:$O$500,"PRODUCT",Lines!$D$2:$D$500,"quote"))</f>
        <v/>
      </c>
      <c r="N29" s="9">
        <f>IF(C29="","",SUMIFS(Lines!$N$2:$N$500,Lines!$B$2:$B$500,C29,Lines!$C$2:$C$500,D29,Lines!$A$2:$A$500,"line",Lines!$O$2:$O$500,"PRODUCT",Lines!$D$2:$D$500,"invoice"))</f>
        <v/>
      </c>
      <c r="O29" s="9">
        <f>IF(C29="","",N29-M29)</f>
        <v/>
      </c>
      <c r="P29" s="10">
        <f>IF(C29="","",IFERROR(O29/M29,""))</f>
        <v/>
      </c>
      <c r="Q29" s="9">
        <f>IF(C29="","",SUMIFS(Lines!$N$2:$N$500,Lines!$B$2:$B$500,C29,Lines!$C$2:$C$500,D29,Lines!$A$2:$A$500,"line",Lines!$O$2:$O$500,"ALLOWANCE",Lines!$D$2:$D$500,"quote"))</f>
        <v/>
      </c>
      <c r="R29" s="9">
        <f>IF(C29="","",SUMIFS(Lines!$N$2:$N$500,Lines!$B$2:$B$500,C29,Lines!$C$2:$C$500,D29,Lines!$A$2:$A$500,"line",Lines!$O$2:$O$500,"ALLOWANCE",Lines!$D$2:$D$500,"invoice"))</f>
        <v/>
      </c>
      <c r="S29" s="9">
        <f>IF(C29="","",R29-Q29)</f>
        <v/>
      </c>
      <c r="T29" s="10">
        <f>IF(C29="","",IFERROR(S29/Q29,""))</f>
        <v/>
      </c>
      <c r="U29" s="2">
        <f>IF(C29="","",COUNTIFS(Docs!$D$2:$D$51,C29,Docs!$E$2:$E$51,D29,Docs!$F$2:$F$51,"invoice"))</f>
        <v/>
      </c>
      <c r="V29" s="2">
        <f>IF(C29="","",IF(U29=0,"N/A - pending",IF(MAX(ABS(G29),ABS(K29),ABS(O29),ABS(S29))&gt;Settings!$B$2,"Y","N")))</f>
        <v/>
      </c>
      <c r="W29" s="2">
        <f>IF(C29="","",TRIM(IFERROR("LABOUR_ALL: "&amp;INDEX(Notes!$D$3:$D$52,MATCH(C29&amp;"|"&amp;D29&amp;"|LABOUR_ALL",Notes!$E$3:$E$52,0))&amp;" ","")&amp;IFERROR("INSTALL: "&amp;INDEX(Notes!$D$3:$D$52,MATCH(C29&amp;"|"&amp;D29&amp;"|INSTALL",Notes!$E$3:$E$52,0))&amp;" ","")&amp;IFERROR("PRODUCT: "&amp;INDEX(Notes!$D$3:$D$52,MATCH(C29&amp;"|"&amp;D29&amp;"|PRODUCT",Notes!$E$3:$E$52,0))&amp;" ","")&amp;IFERROR("ALLOWANCE: "&amp;INDEX(Notes!$D$3:$D$52,MATCH(C29&amp;"|"&amp;D29&amp;"|ALLOWANCE",Notes!$E$3:$E$52,0))&amp;" ","")))</f>
        <v/>
      </c>
    </row>
    <row r="30">
      <c r="A30" s="2" t="n">
        <v>29</v>
      </c>
      <c r="B30" s="2">
        <f>IFERROR(MATCH(A30,Lines!$AG$2:$AG$500,0),"")</f>
        <v/>
      </c>
      <c r="C30" s="2">
        <f>IF(B30="","",INDEX(Lines!$B$2:$B$500,B30))</f>
        <v/>
      </c>
      <c r="D30" s="2">
        <f>IF(B30="","",INDEX(Lines!$C$2:$C$500,B30))</f>
        <v/>
      </c>
      <c r="E30" s="9">
        <f>IF(C30="","",SUMIFS(Lines!$N$2:$N$500,Lines!$B$2:$B$500,C30,Lines!$C$2:$C$500,D30,Lines!$A$2:$A$500,"line",Lines!$X$2:$X$500,"LABOUR_ALL",Lines!$D$2:$D$500,"quote"))</f>
        <v/>
      </c>
      <c r="F30" s="9">
        <f>IF(C30="","",SUMIFS(Lines!$N$2:$N$500,Lines!$B$2:$B$500,C30,Lines!$C$2:$C$500,D30,Lines!$A$2:$A$500,"line",Lines!$X$2:$X$500,"LABOUR_ALL",Lines!$D$2:$D$500,"invoice"))</f>
        <v/>
      </c>
      <c r="G30" s="9">
        <f>IF(C30="","",F30-E30)</f>
        <v/>
      </c>
      <c r="H30" s="10">
        <f>IF(C30="","",IFERROR(G30/E30,""))</f>
        <v/>
      </c>
      <c r="I30" s="9">
        <f>IF(C30="","",SUMIFS(Lines!$N$2:$N$500,Lines!$B$2:$B$500,C30,Lines!$C$2:$C$500,D30,Lines!$A$2:$A$500,"line",Lines!$O$2:$O$500,"INSTALL",Lines!$D$2:$D$500,"quote"))</f>
        <v/>
      </c>
      <c r="J30" s="9">
        <f>IF(C30="","",SUMIFS(Lines!$N$2:$N$500,Lines!$B$2:$B$500,C30,Lines!$C$2:$C$500,D30,Lines!$A$2:$A$500,"line",Lines!$O$2:$O$500,"INSTALL",Lines!$D$2:$D$500,"invoice"))</f>
        <v/>
      </c>
      <c r="K30" s="9">
        <f>IF(C30="","",J30-I30)</f>
        <v/>
      </c>
      <c r="L30" s="10">
        <f>IF(C30="","",IFERROR(K30/I30,""))</f>
        <v/>
      </c>
      <c r="M30" s="9">
        <f>IF(C30="","",SUMIFS(Lines!$N$2:$N$500,Lines!$B$2:$B$500,C30,Lines!$C$2:$C$500,D30,Lines!$A$2:$A$500,"line",Lines!$O$2:$O$500,"PRODUCT",Lines!$D$2:$D$500,"quote"))</f>
        <v/>
      </c>
      <c r="N30" s="9">
        <f>IF(C30="","",SUMIFS(Lines!$N$2:$N$500,Lines!$B$2:$B$500,C30,Lines!$C$2:$C$500,D30,Lines!$A$2:$A$500,"line",Lines!$O$2:$O$500,"PRODUCT",Lines!$D$2:$D$500,"invoice"))</f>
        <v/>
      </c>
      <c r="O30" s="9">
        <f>IF(C30="","",N30-M30)</f>
        <v/>
      </c>
      <c r="P30" s="10">
        <f>IF(C30="","",IFERROR(O30/M30,""))</f>
        <v/>
      </c>
      <c r="Q30" s="9">
        <f>IF(C30="","",SUMIFS(Lines!$N$2:$N$500,Lines!$B$2:$B$500,C30,Lines!$C$2:$C$500,D30,Lines!$A$2:$A$500,"line",Lines!$O$2:$O$500,"ALLOWANCE",Lines!$D$2:$D$500,"quote"))</f>
        <v/>
      </c>
      <c r="R30" s="9">
        <f>IF(C30="","",SUMIFS(Lines!$N$2:$N$500,Lines!$B$2:$B$500,C30,Lines!$C$2:$C$500,D30,Lines!$A$2:$A$500,"line",Lines!$O$2:$O$500,"ALLOWANCE",Lines!$D$2:$D$500,"invoice"))</f>
        <v/>
      </c>
      <c r="S30" s="9">
        <f>IF(C30="","",R30-Q30)</f>
        <v/>
      </c>
      <c r="T30" s="10">
        <f>IF(C30="","",IFERROR(S30/Q30,""))</f>
        <v/>
      </c>
      <c r="U30" s="2">
        <f>IF(C30="","",COUNTIFS(Docs!$D$2:$D$51,C30,Docs!$E$2:$E$51,D30,Docs!$F$2:$F$51,"invoice"))</f>
        <v/>
      </c>
      <c r="V30" s="2">
        <f>IF(C30="","",IF(U30=0,"N/A - pending",IF(MAX(ABS(G30),ABS(K30),ABS(O30),ABS(S30))&gt;Settings!$B$2,"Y","N")))</f>
        <v/>
      </c>
      <c r="W30" s="2">
        <f>IF(C30="","",TRIM(IFERROR("LABOUR_ALL: "&amp;INDEX(Notes!$D$3:$D$52,MATCH(C30&amp;"|"&amp;D30&amp;"|LABOUR_ALL",Notes!$E$3:$E$52,0))&amp;" ","")&amp;IFERROR("INSTALL: "&amp;INDEX(Notes!$D$3:$D$52,MATCH(C30&amp;"|"&amp;D30&amp;"|INSTALL",Notes!$E$3:$E$52,0))&amp;" ","")&amp;IFERROR("PRODUCT: "&amp;INDEX(Notes!$D$3:$D$52,MATCH(C30&amp;"|"&amp;D30&amp;"|PRODUCT",Notes!$E$3:$E$52,0))&amp;" ","")&amp;IFERROR("ALLOWANCE: "&amp;INDEX(Notes!$D$3:$D$52,MATCH(C30&amp;"|"&amp;D30&amp;"|ALLOWANCE",Notes!$E$3:$E$52,0))&amp;" ","")))</f>
        <v/>
      </c>
    </row>
    <row r="31">
      <c r="A31" s="2" t="n">
        <v>30</v>
      </c>
      <c r="B31" s="2">
        <f>IFERROR(MATCH(A31,Lines!$AG$2:$AG$500,0),"")</f>
        <v/>
      </c>
      <c r="C31" s="2">
        <f>IF(B31="","",INDEX(Lines!$B$2:$B$500,B31))</f>
        <v/>
      </c>
      <c r="D31" s="2">
        <f>IF(B31="","",INDEX(Lines!$C$2:$C$500,B31))</f>
        <v/>
      </c>
      <c r="E31" s="9">
        <f>IF(C31="","",SUMIFS(Lines!$N$2:$N$500,Lines!$B$2:$B$500,C31,Lines!$C$2:$C$500,D31,Lines!$A$2:$A$500,"line",Lines!$X$2:$X$500,"LABOUR_ALL",Lines!$D$2:$D$500,"quote"))</f>
        <v/>
      </c>
      <c r="F31" s="9">
        <f>IF(C31="","",SUMIFS(Lines!$N$2:$N$500,Lines!$B$2:$B$500,C31,Lines!$C$2:$C$500,D31,Lines!$A$2:$A$500,"line",Lines!$X$2:$X$500,"LABOUR_ALL",Lines!$D$2:$D$500,"invoice"))</f>
        <v/>
      </c>
      <c r="G31" s="9">
        <f>IF(C31="","",F31-E31)</f>
        <v/>
      </c>
      <c r="H31" s="10">
        <f>IF(C31="","",IFERROR(G31/E31,""))</f>
        <v/>
      </c>
      <c r="I31" s="9">
        <f>IF(C31="","",SUMIFS(Lines!$N$2:$N$500,Lines!$B$2:$B$500,C31,Lines!$C$2:$C$500,D31,Lines!$A$2:$A$500,"line",Lines!$O$2:$O$500,"INSTALL",Lines!$D$2:$D$500,"quote"))</f>
        <v/>
      </c>
      <c r="J31" s="9">
        <f>IF(C31="","",SUMIFS(Lines!$N$2:$N$500,Lines!$B$2:$B$500,C31,Lines!$C$2:$C$500,D31,Lines!$A$2:$A$500,"line",Lines!$O$2:$O$500,"INSTALL",Lines!$D$2:$D$500,"invoice"))</f>
        <v/>
      </c>
      <c r="K31" s="9">
        <f>IF(C31="","",J31-I31)</f>
        <v/>
      </c>
      <c r="L31" s="10">
        <f>IF(C31="","",IFERROR(K31/I31,""))</f>
        <v/>
      </c>
      <c r="M31" s="9">
        <f>IF(C31="","",SUMIFS(Lines!$N$2:$N$500,Lines!$B$2:$B$500,C31,Lines!$C$2:$C$500,D31,Lines!$A$2:$A$500,"line",Lines!$O$2:$O$500,"PRODUCT",Lines!$D$2:$D$500,"quote"))</f>
        <v/>
      </c>
      <c r="N31" s="9">
        <f>IF(C31="","",SUMIFS(Lines!$N$2:$N$500,Lines!$B$2:$B$500,C31,Lines!$C$2:$C$500,D31,Lines!$A$2:$A$500,"line",Lines!$O$2:$O$500,"PRODUCT",Lines!$D$2:$D$500,"invoice"))</f>
        <v/>
      </c>
      <c r="O31" s="9">
        <f>IF(C31="","",N31-M31)</f>
        <v/>
      </c>
      <c r="P31" s="10">
        <f>IF(C31="","",IFERROR(O31/M31,""))</f>
        <v/>
      </c>
      <c r="Q31" s="9">
        <f>IF(C31="","",SUMIFS(Lines!$N$2:$N$500,Lines!$B$2:$B$500,C31,Lines!$C$2:$C$500,D31,Lines!$A$2:$A$500,"line",Lines!$O$2:$O$500,"ALLOWANCE",Lines!$D$2:$D$500,"quote"))</f>
        <v/>
      </c>
      <c r="R31" s="9">
        <f>IF(C31="","",SUMIFS(Lines!$N$2:$N$500,Lines!$B$2:$B$500,C31,Lines!$C$2:$C$500,D31,Lines!$A$2:$A$500,"line",Lines!$O$2:$O$500,"ALLOWANCE",Lines!$D$2:$D$500,"invoice"))</f>
        <v/>
      </c>
      <c r="S31" s="9">
        <f>IF(C31="","",R31-Q31)</f>
        <v/>
      </c>
      <c r="T31" s="10">
        <f>IF(C31="","",IFERROR(S31/Q31,""))</f>
        <v/>
      </c>
      <c r="U31" s="2">
        <f>IF(C31="","",COUNTIFS(Docs!$D$2:$D$51,C31,Docs!$E$2:$E$51,D31,Docs!$F$2:$F$51,"invoice"))</f>
        <v/>
      </c>
      <c r="V31" s="2">
        <f>IF(C31="","",IF(U31=0,"N/A - pending",IF(MAX(ABS(G31),ABS(K31),ABS(O31),ABS(S31))&gt;Settings!$B$2,"Y","N")))</f>
        <v/>
      </c>
      <c r="W31" s="2">
        <f>IF(C31="","",TRIM(IFERROR("LABOUR_ALL: "&amp;INDEX(Notes!$D$3:$D$52,MATCH(C31&amp;"|"&amp;D31&amp;"|LABOUR_ALL",Notes!$E$3:$E$52,0))&amp;" ","")&amp;IFERROR("INSTALL: "&amp;INDEX(Notes!$D$3:$D$52,MATCH(C31&amp;"|"&amp;D31&amp;"|INSTALL",Notes!$E$3:$E$52,0))&amp;" ","")&amp;IFERROR("PRODUCT: "&amp;INDEX(Notes!$D$3:$D$52,MATCH(C31&amp;"|"&amp;D31&amp;"|PRODUCT",Notes!$E$3:$E$52,0))&amp;" ","")&amp;IFERROR("ALLOWANCE: "&amp;INDEX(Notes!$D$3:$D$52,MATCH(C31&amp;"|"&amp;D31&amp;"|ALLOWANCE",Notes!$E$3:$E$52,0))&amp;" ","")))</f>
        <v/>
      </c>
    </row>
    <row r="32">
      <c r="A32" s="2" t="n">
        <v>31</v>
      </c>
      <c r="B32" s="2">
        <f>IFERROR(MATCH(A32,Lines!$AG$2:$AG$500,0),"")</f>
        <v/>
      </c>
      <c r="C32" s="2">
        <f>IF(B32="","",INDEX(Lines!$B$2:$B$500,B32))</f>
        <v/>
      </c>
      <c r="D32" s="2">
        <f>IF(B32="","",INDEX(Lines!$C$2:$C$500,B32))</f>
        <v/>
      </c>
      <c r="E32" s="9">
        <f>IF(C32="","",SUMIFS(Lines!$N$2:$N$500,Lines!$B$2:$B$500,C32,Lines!$C$2:$C$500,D32,Lines!$A$2:$A$500,"line",Lines!$X$2:$X$500,"LABOUR_ALL",Lines!$D$2:$D$500,"quote"))</f>
        <v/>
      </c>
      <c r="F32" s="9">
        <f>IF(C32="","",SUMIFS(Lines!$N$2:$N$500,Lines!$B$2:$B$500,C32,Lines!$C$2:$C$500,D32,Lines!$A$2:$A$500,"line",Lines!$X$2:$X$500,"LABOUR_ALL",Lines!$D$2:$D$500,"invoice"))</f>
        <v/>
      </c>
      <c r="G32" s="9">
        <f>IF(C32="","",F32-E32)</f>
        <v/>
      </c>
      <c r="H32" s="10">
        <f>IF(C32="","",IFERROR(G32/E32,""))</f>
        <v/>
      </c>
      <c r="I32" s="9">
        <f>IF(C32="","",SUMIFS(Lines!$N$2:$N$500,Lines!$B$2:$B$500,C32,Lines!$C$2:$C$500,D32,Lines!$A$2:$A$500,"line",Lines!$O$2:$O$500,"INSTALL",Lines!$D$2:$D$500,"quote"))</f>
        <v/>
      </c>
      <c r="J32" s="9">
        <f>IF(C32="","",SUMIFS(Lines!$N$2:$N$500,Lines!$B$2:$B$500,C32,Lines!$C$2:$C$500,D32,Lines!$A$2:$A$500,"line",Lines!$O$2:$O$500,"INSTALL",Lines!$D$2:$D$500,"invoice"))</f>
        <v/>
      </c>
      <c r="K32" s="9">
        <f>IF(C32="","",J32-I32)</f>
        <v/>
      </c>
      <c r="L32" s="10">
        <f>IF(C32="","",IFERROR(K32/I32,""))</f>
        <v/>
      </c>
      <c r="M32" s="9">
        <f>IF(C32="","",SUMIFS(Lines!$N$2:$N$500,Lines!$B$2:$B$500,C32,Lines!$C$2:$C$500,D32,Lines!$A$2:$A$500,"line",Lines!$O$2:$O$500,"PRODUCT",Lines!$D$2:$D$500,"quote"))</f>
        <v/>
      </c>
      <c r="N32" s="9">
        <f>IF(C32="","",SUMIFS(Lines!$N$2:$N$500,Lines!$B$2:$B$500,C32,Lines!$C$2:$C$500,D32,Lines!$A$2:$A$500,"line",Lines!$O$2:$O$500,"PRODUCT",Lines!$D$2:$D$500,"invoice"))</f>
        <v/>
      </c>
      <c r="O32" s="9">
        <f>IF(C32="","",N32-M32)</f>
        <v/>
      </c>
      <c r="P32" s="10">
        <f>IF(C32="","",IFERROR(O32/M32,""))</f>
        <v/>
      </c>
      <c r="Q32" s="9">
        <f>IF(C32="","",SUMIFS(Lines!$N$2:$N$500,Lines!$B$2:$B$500,C32,Lines!$C$2:$C$500,D32,Lines!$A$2:$A$500,"line",Lines!$O$2:$O$500,"ALLOWANCE",Lines!$D$2:$D$500,"quote"))</f>
        <v/>
      </c>
      <c r="R32" s="9">
        <f>IF(C32="","",SUMIFS(Lines!$N$2:$N$500,Lines!$B$2:$B$500,C32,Lines!$C$2:$C$500,D32,Lines!$A$2:$A$500,"line",Lines!$O$2:$O$500,"ALLOWANCE",Lines!$D$2:$D$500,"invoice"))</f>
        <v/>
      </c>
      <c r="S32" s="9">
        <f>IF(C32="","",R32-Q32)</f>
        <v/>
      </c>
      <c r="T32" s="10">
        <f>IF(C32="","",IFERROR(S32/Q32,""))</f>
        <v/>
      </c>
      <c r="U32" s="2">
        <f>IF(C32="","",COUNTIFS(Docs!$D$2:$D$51,C32,Docs!$E$2:$E$51,D32,Docs!$F$2:$F$51,"invoice"))</f>
        <v/>
      </c>
      <c r="V32" s="2">
        <f>IF(C32="","",IF(U32=0,"N/A - pending",IF(MAX(ABS(G32),ABS(K32),ABS(O32),ABS(S32))&gt;Settings!$B$2,"Y","N")))</f>
        <v/>
      </c>
      <c r="W32" s="2">
        <f>IF(C32="","",TRIM(IFERROR("LABOUR_ALL: "&amp;INDEX(Notes!$D$3:$D$52,MATCH(C32&amp;"|"&amp;D32&amp;"|LABOUR_ALL",Notes!$E$3:$E$52,0))&amp;" ","")&amp;IFERROR("INSTALL: "&amp;INDEX(Notes!$D$3:$D$52,MATCH(C32&amp;"|"&amp;D32&amp;"|INSTALL",Notes!$E$3:$E$52,0))&amp;" ","")&amp;IFERROR("PRODUCT: "&amp;INDEX(Notes!$D$3:$D$52,MATCH(C32&amp;"|"&amp;D32&amp;"|PRODUCT",Notes!$E$3:$E$52,0))&amp;" ","")&amp;IFERROR("ALLOWANCE: "&amp;INDEX(Notes!$D$3:$D$52,MATCH(C32&amp;"|"&amp;D32&amp;"|ALLOWANCE",Notes!$E$3:$E$52,0))&amp;" ","")))</f>
        <v/>
      </c>
    </row>
    <row r="33">
      <c r="A33" s="2" t="n">
        <v>32</v>
      </c>
      <c r="B33" s="2">
        <f>IFERROR(MATCH(A33,Lines!$AG$2:$AG$500,0),"")</f>
        <v/>
      </c>
      <c r="C33" s="2">
        <f>IF(B33="","",INDEX(Lines!$B$2:$B$500,B33))</f>
        <v/>
      </c>
      <c r="D33" s="2">
        <f>IF(B33="","",INDEX(Lines!$C$2:$C$500,B33))</f>
        <v/>
      </c>
      <c r="E33" s="9">
        <f>IF(C33="","",SUMIFS(Lines!$N$2:$N$500,Lines!$B$2:$B$500,C33,Lines!$C$2:$C$500,D33,Lines!$A$2:$A$500,"line",Lines!$X$2:$X$500,"LABOUR_ALL",Lines!$D$2:$D$500,"quote"))</f>
        <v/>
      </c>
      <c r="F33" s="9">
        <f>IF(C33="","",SUMIFS(Lines!$N$2:$N$500,Lines!$B$2:$B$500,C33,Lines!$C$2:$C$500,D33,Lines!$A$2:$A$500,"line",Lines!$X$2:$X$500,"LABOUR_ALL",Lines!$D$2:$D$500,"invoice"))</f>
        <v/>
      </c>
      <c r="G33" s="9">
        <f>IF(C33="","",F33-E33)</f>
        <v/>
      </c>
      <c r="H33" s="10">
        <f>IF(C33="","",IFERROR(G33/E33,""))</f>
        <v/>
      </c>
      <c r="I33" s="9">
        <f>IF(C33="","",SUMIFS(Lines!$N$2:$N$500,Lines!$B$2:$B$500,C33,Lines!$C$2:$C$500,D33,Lines!$A$2:$A$500,"line",Lines!$O$2:$O$500,"INSTALL",Lines!$D$2:$D$500,"quote"))</f>
        <v/>
      </c>
      <c r="J33" s="9">
        <f>IF(C33="","",SUMIFS(Lines!$N$2:$N$500,Lines!$B$2:$B$500,C33,Lines!$C$2:$C$500,D33,Lines!$A$2:$A$500,"line",Lines!$O$2:$O$500,"INSTALL",Lines!$D$2:$D$500,"invoice"))</f>
        <v/>
      </c>
      <c r="K33" s="9">
        <f>IF(C33="","",J33-I33)</f>
        <v/>
      </c>
      <c r="L33" s="10">
        <f>IF(C33="","",IFERROR(K33/I33,""))</f>
        <v/>
      </c>
      <c r="M33" s="9">
        <f>IF(C33="","",SUMIFS(Lines!$N$2:$N$500,Lines!$B$2:$B$500,C33,Lines!$C$2:$C$500,D33,Lines!$A$2:$A$500,"line",Lines!$O$2:$O$500,"PRODUCT",Lines!$D$2:$D$500,"quote"))</f>
        <v/>
      </c>
      <c r="N33" s="9">
        <f>IF(C33="","",SUMIFS(Lines!$N$2:$N$500,Lines!$B$2:$B$500,C33,Lines!$C$2:$C$500,D33,Lines!$A$2:$A$500,"line",Lines!$O$2:$O$500,"PRODUCT",Lines!$D$2:$D$500,"invoice"))</f>
        <v/>
      </c>
      <c r="O33" s="9">
        <f>IF(C33="","",N33-M33)</f>
        <v/>
      </c>
      <c r="P33" s="10">
        <f>IF(C33="","",IFERROR(O33/M33,""))</f>
        <v/>
      </c>
      <c r="Q33" s="9">
        <f>IF(C33="","",SUMIFS(Lines!$N$2:$N$500,Lines!$B$2:$B$500,C33,Lines!$C$2:$C$500,D33,Lines!$A$2:$A$500,"line",Lines!$O$2:$O$500,"ALLOWANCE",Lines!$D$2:$D$500,"quote"))</f>
        <v/>
      </c>
      <c r="R33" s="9">
        <f>IF(C33="","",SUMIFS(Lines!$N$2:$N$500,Lines!$B$2:$B$500,C33,Lines!$C$2:$C$500,D33,Lines!$A$2:$A$500,"line",Lines!$O$2:$O$500,"ALLOWANCE",Lines!$D$2:$D$500,"invoice"))</f>
        <v/>
      </c>
      <c r="S33" s="9">
        <f>IF(C33="","",R33-Q33)</f>
        <v/>
      </c>
      <c r="T33" s="10">
        <f>IF(C33="","",IFERROR(S33/Q33,""))</f>
        <v/>
      </c>
      <c r="U33" s="2">
        <f>IF(C33="","",COUNTIFS(Docs!$D$2:$D$51,C33,Docs!$E$2:$E$51,D33,Docs!$F$2:$F$51,"invoice"))</f>
        <v/>
      </c>
      <c r="V33" s="2">
        <f>IF(C33="","",IF(U33=0,"N/A - pending",IF(MAX(ABS(G33),ABS(K33),ABS(O33),ABS(S33))&gt;Settings!$B$2,"Y","N")))</f>
        <v/>
      </c>
      <c r="W33" s="2">
        <f>IF(C33="","",TRIM(IFERROR("LABOUR_ALL: "&amp;INDEX(Notes!$D$3:$D$52,MATCH(C33&amp;"|"&amp;D33&amp;"|LABOUR_ALL",Notes!$E$3:$E$52,0))&amp;" ","")&amp;IFERROR("INSTALL: "&amp;INDEX(Notes!$D$3:$D$52,MATCH(C33&amp;"|"&amp;D33&amp;"|INSTALL",Notes!$E$3:$E$52,0))&amp;" ","")&amp;IFERROR("PRODUCT: "&amp;INDEX(Notes!$D$3:$D$52,MATCH(C33&amp;"|"&amp;D33&amp;"|PRODUCT",Notes!$E$3:$E$52,0))&amp;" ","")&amp;IFERROR("ALLOWANCE: "&amp;INDEX(Notes!$D$3:$D$52,MATCH(C33&amp;"|"&amp;D33&amp;"|ALLOWANCE",Notes!$E$3:$E$52,0))&amp;" ","")))</f>
        <v/>
      </c>
    </row>
    <row r="34">
      <c r="A34" s="2" t="n">
        <v>33</v>
      </c>
      <c r="B34" s="2">
        <f>IFERROR(MATCH(A34,Lines!$AG$2:$AG$500,0),"")</f>
        <v/>
      </c>
      <c r="C34" s="2">
        <f>IF(B34="","",INDEX(Lines!$B$2:$B$500,B34))</f>
        <v/>
      </c>
      <c r="D34" s="2">
        <f>IF(B34="","",INDEX(Lines!$C$2:$C$500,B34))</f>
        <v/>
      </c>
      <c r="E34" s="9">
        <f>IF(C34="","",SUMIFS(Lines!$N$2:$N$500,Lines!$B$2:$B$500,C34,Lines!$C$2:$C$500,D34,Lines!$A$2:$A$500,"line",Lines!$X$2:$X$500,"LABOUR_ALL",Lines!$D$2:$D$500,"quote"))</f>
        <v/>
      </c>
      <c r="F34" s="9">
        <f>IF(C34="","",SUMIFS(Lines!$N$2:$N$500,Lines!$B$2:$B$500,C34,Lines!$C$2:$C$500,D34,Lines!$A$2:$A$500,"line",Lines!$X$2:$X$500,"LABOUR_ALL",Lines!$D$2:$D$500,"invoice"))</f>
        <v/>
      </c>
      <c r="G34" s="9">
        <f>IF(C34="","",F34-E34)</f>
        <v/>
      </c>
      <c r="H34" s="10">
        <f>IF(C34="","",IFERROR(G34/E34,""))</f>
        <v/>
      </c>
      <c r="I34" s="9">
        <f>IF(C34="","",SUMIFS(Lines!$N$2:$N$500,Lines!$B$2:$B$500,C34,Lines!$C$2:$C$500,D34,Lines!$A$2:$A$500,"line",Lines!$O$2:$O$500,"INSTALL",Lines!$D$2:$D$500,"quote"))</f>
        <v/>
      </c>
      <c r="J34" s="9">
        <f>IF(C34="","",SUMIFS(Lines!$N$2:$N$500,Lines!$B$2:$B$500,C34,Lines!$C$2:$C$500,D34,Lines!$A$2:$A$500,"line",Lines!$O$2:$O$500,"INSTALL",Lines!$D$2:$D$500,"invoice"))</f>
        <v/>
      </c>
      <c r="K34" s="9">
        <f>IF(C34="","",J34-I34)</f>
        <v/>
      </c>
      <c r="L34" s="10">
        <f>IF(C34="","",IFERROR(K34/I34,""))</f>
        <v/>
      </c>
      <c r="M34" s="9">
        <f>IF(C34="","",SUMIFS(Lines!$N$2:$N$500,Lines!$B$2:$B$500,C34,Lines!$C$2:$C$500,D34,Lines!$A$2:$A$500,"line",Lines!$O$2:$O$500,"PRODUCT",Lines!$D$2:$D$500,"quote"))</f>
        <v/>
      </c>
      <c r="N34" s="9">
        <f>IF(C34="","",SUMIFS(Lines!$N$2:$N$500,Lines!$B$2:$B$500,C34,Lines!$C$2:$C$500,D34,Lines!$A$2:$A$500,"line",Lines!$O$2:$O$500,"PRODUCT",Lines!$D$2:$D$500,"invoice"))</f>
        <v/>
      </c>
      <c r="O34" s="9">
        <f>IF(C34="","",N34-M34)</f>
        <v/>
      </c>
      <c r="P34" s="10">
        <f>IF(C34="","",IFERROR(O34/M34,""))</f>
        <v/>
      </c>
      <c r="Q34" s="9">
        <f>IF(C34="","",SUMIFS(Lines!$N$2:$N$500,Lines!$B$2:$B$500,C34,Lines!$C$2:$C$500,D34,Lines!$A$2:$A$500,"line",Lines!$O$2:$O$500,"ALLOWANCE",Lines!$D$2:$D$500,"quote"))</f>
        <v/>
      </c>
      <c r="R34" s="9">
        <f>IF(C34="","",SUMIFS(Lines!$N$2:$N$500,Lines!$B$2:$B$500,C34,Lines!$C$2:$C$500,D34,Lines!$A$2:$A$500,"line",Lines!$O$2:$O$500,"ALLOWANCE",Lines!$D$2:$D$500,"invoice"))</f>
        <v/>
      </c>
      <c r="S34" s="9">
        <f>IF(C34="","",R34-Q34)</f>
        <v/>
      </c>
      <c r="T34" s="10">
        <f>IF(C34="","",IFERROR(S34/Q34,""))</f>
        <v/>
      </c>
      <c r="U34" s="2">
        <f>IF(C34="","",COUNTIFS(Docs!$D$2:$D$51,C34,Docs!$E$2:$E$51,D34,Docs!$F$2:$F$51,"invoice"))</f>
        <v/>
      </c>
      <c r="V34" s="2">
        <f>IF(C34="","",IF(U34=0,"N/A - pending",IF(MAX(ABS(G34),ABS(K34),ABS(O34),ABS(S34))&gt;Settings!$B$2,"Y","N")))</f>
        <v/>
      </c>
      <c r="W34" s="2">
        <f>IF(C34="","",TRIM(IFERROR("LABOUR_ALL: "&amp;INDEX(Notes!$D$3:$D$52,MATCH(C34&amp;"|"&amp;D34&amp;"|LABOUR_ALL",Notes!$E$3:$E$52,0))&amp;" ","")&amp;IFERROR("INSTALL: "&amp;INDEX(Notes!$D$3:$D$52,MATCH(C34&amp;"|"&amp;D34&amp;"|INSTALL",Notes!$E$3:$E$52,0))&amp;" ","")&amp;IFERROR("PRODUCT: "&amp;INDEX(Notes!$D$3:$D$52,MATCH(C34&amp;"|"&amp;D34&amp;"|PRODUCT",Notes!$E$3:$E$52,0))&amp;" ","")&amp;IFERROR("ALLOWANCE: "&amp;INDEX(Notes!$D$3:$D$52,MATCH(C34&amp;"|"&amp;D34&amp;"|ALLOWANCE",Notes!$E$3:$E$52,0))&amp;" ","")))</f>
        <v/>
      </c>
    </row>
    <row r="35">
      <c r="A35" s="2" t="n">
        <v>34</v>
      </c>
      <c r="B35" s="2">
        <f>IFERROR(MATCH(A35,Lines!$AG$2:$AG$500,0),"")</f>
        <v/>
      </c>
      <c r="C35" s="2">
        <f>IF(B35="","",INDEX(Lines!$B$2:$B$500,B35))</f>
        <v/>
      </c>
      <c r="D35" s="2">
        <f>IF(B35="","",INDEX(Lines!$C$2:$C$500,B35))</f>
        <v/>
      </c>
      <c r="E35" s="9">
        <f>IF(C35="","",SUMIFS(Lines!$N$2:$N$500,Lines!$B$2:$B$500,C35,Lines!$C$2:$C$500,D35,Lines!$A$2:$A$500,"line",Lines!$X$2:$X$500,"LABOUR_ALL",Lines!$D$2:$D$500,"quote"))</f>
        <v/>
      </c>
      <c r="F35" s="9">
        <f>IF(C35="","",SUMIFS(Lines!$N$2:$N$500,Lines!$B$2:$B$500,C35,Lines!$C$2:$C$500,D35,Lines!$A$2:$A$500,"line",Lines!$X$2:$X$500,"LABOUR_ALL",Lines!$D$2:$D$500,"invoice"))</f>
        <v/>
      </c>
      <c r="G35" s="9">
        <f>IF(C35="","",F35-E35)</f>
        <v/>
      </c>
      <c r="H35" s="10">
        <f>IF(C35="","",IFERROR(G35/E35,""))</f>
        <v/>
      </c>
      <c r="I35" s="9">
        <f>IF(C35="","",SUMIFS(Lines!$N$2:$N$500,Lines!$B$2:$B$500,C35,Lines!$C$2:$C$500,D35,Lines!$A$2:$A$500,"line",Lines!$O$2:$O$500,"INSTALL",Lines!$D$2:$D$500,"quote"))</f>
        <v/>
      </c>
      <c r="J35" s="9">
        <f>IF(C35="","",SUMIFS(Lines!$N$2:$N$500,Lines!$B$2:$B$500,C35,Lines!$C$2:$C$500,D35,Lines!$A$2:$A$500,"line",Lines!$O$2:$O$500,"INSTALL",Lines!$D$2:$D$500,"invoice"))</f>
        <v/>
      </c>
      <c r="K35" s="9">
        <f>IF(C35="","",J35-I35)</f>
        <v/>
      </c>
      <c r="L35" s="10">
        <f>IF(C35="","",IFERROR(K35/I35,""))</f>
        <v/>
      </c>
      <c r="M35" s="9">
        <f>IF(C35="","",SUMIFS(Lines!$N$2:$N$500,Lines!$B$2:$B$500,C35,Lines!$C$2:$C$500,D35,Lines!$A$2:$A$500,"line",Lines!$O$2:$O$500,"PRODUCT",Lines!$D$2:$D$500,"quote"))</f>
        <v/>
      </c>
      <c r="N35" s="9">
        <f>IF(C35="","",SUMIFS(Lines!$N$2:$N$500,Lines!$B$2:$B$500,C35,Lines!$C$2:$C$500,D35,Lines!$A$2:$A$500,"line",Lines!$O$2:$O$500,"PRODUCT",Lines!$D$2:$D$500,"invoice"))</f>
        <v/>
      </c>
      <c r="O35" s="9">
        <f>IF(C35="","",N35-M35)</f>
        <v/>
      </c>
      <c r="P35" s="10">
        <f>IF(C35="","",IFERROR(O35/M35,""))</f>
        <v/>
      </c>
      <c r="Q35" s="9">
        <f>IF(C35="","",SUMIFS(Lines!$N$2:$N$500,Lines!$B$2:$B$500,C35,Lines!$C$2:$C$500,D35,Lines!$A$2:$A$500,"line",Lines!$O$2:$O$500,"ALLOWANCE",Lines!$D$2:$D$500,"quote"))</f>
        <v/>
      </c>
      <c r="R35" s="9">
        <f>IF(C35="","",SUMIFS(Lines!$N$2:$N$500,Lines!$B$2:$B$500,C35,Lines!$C$2:$C$500,D35,Lines!$A$2:$A$500,"line",Lines!$O$2:$O$500,"ALLOWANCE",Lines!$D$2:$D$500,"invoice"))</f>
        <v/>
      </c>
      <c r="S35" s="9">
        <f>IF(C35="","",R35-Q35)</f>
        <v/>
      </c>
      <c r="T35" s="10">
        <f>IF(C35="","",IFERROR(S35/Q35,""))</f>
        <v/>
      </c>
      <c r="U35" s="2">
        <f>IF(C35="","",COUNTIFS(Docs!$D$2:$D$51,C35,Docs!$E$2:$E$51,D35,Docs!$F$2:$F$51,"invoice"))</f>
        <v/>
      </c>
      <c r="V35" s="2">
        <f>IF(C35="","",IF(U35=0,"N/A - pending",IF(MAX(ABS(G35),ABS(K35),ABS(O35),ABS(S35))&gt;Settings!$B$2,"Y","N")))</f>
        <v/>
      </c>
      <c r="W35" s="2">
        <f>IF(C35="","",TRIM(IFERROR("LABOUR_ALL: "&amp;INDEX(Notes!$D$3:$D$52,MATCH(C35&amp;"|"&amp;D35&amp;"|LABOUR_ALL",Notes!$E$3:$E$52,0))&amp;" ","")&amp;IFERROR("INSTALL: "&amp;INDEX(Notes!$D$3:$D$52,MATCH(C35&amp;"|"&amp;D35&amp;"|INSTALL",Notes!$E$3:$E$52,0))&amp;" ","")&amp;IFERROR("PRODUCT: "&amp;INDEX(Notes!$D$3:$D$52,MATCH(C35&amp;"|"&amp;D35&amp;"|PRODUCT",Notes!$E$3:$E$52,0))&amp;" ","")&amp;IFERROR("ALLOWANCE: "&amp;INDEX(Notes!$D$3:$D$52,MATCH(C35&amp;"|"&amp;D35&amp;"|ALLOWANCE",Notes!$E$3:$E$52,0))&amp;" ","")))</f>
        <v/>
      </c>
    </row>
    <row r="36">
      <c r="A36" s="2" t="n">
        <v>35</v>
      </c>
      <c r="B36" s="2">
        <f>IFERROR(MATCH(A36,Lines!$AG$2:$AG$500,0),"")</f>
        <v/>
      </c>
      <c r="C36" s="2">
        <f>IF(B36="","",INDEX(Lines!$B$2:$B$500,B36))</f>
        <v/>
      </c>
      <c r="D36" s="2">
        <f>IF(B36="","",INDEX(Lines!$C$2:$C$500,B36))</f>
        <v/>
      </c>
      <c r="E36" s="9">
        <f>IF(C36="","",SUMIFS(Lines!$N$2:$N$500,Lines!$B$2:$B$500,C36,Lines!$C$2:$C$500,D36,Lines!$A$2:$A$500,"line",Lines!$X$2:$X$500,"LABOUR_ALL",Lines!$D$2:$D$500,"quote"))</f>
        <v/>
      </c>
      <c r="F36" s="9">
        <f>IF(C36="","",SUMIFS(Lines!$N$2:$N$500,Lines!$B$2:$B$500,C36,Lines!$C$2:$C$500,D36,Lines!$A$2:$A$500,"line",Lines!$X$2:$X$500,"LABOUR_ALL",Lines!$D$2:$D$500,"invoice"))</f>
        <v/>
      </c>
      <c r="G36" s="9">
        <f>IF(C36="","",F36-E36)</f>
        <v/>
      </c>
      <c r="H36" s="10">
        <f>IF(C36="","",IFERROR(G36/E36,""))</f>
        <v/>
      </c>
      <c r="I36" s="9">
        <f>IF(C36="","",SUMIFS(Lines!$N$2:$N$500,Lines!$B$2:$B$500,C36,Lines!$C$2:$C$500,D36,Lines!$A$2:$A$500,"line",Lines!$O$2:$O$500,"INSTALL",Lines!$D$2:$D$500,"quote"))</f>
        <v/>
      </c>
      <c r="J36" s="9">
        <f>IF(C36="","",SUMIFS(Lines!$N$2:$N$500,Lines!$B$2:$B$500,C36,Lines!$C$2:$C$500,D36,Lines!$A$2:$A$500,"line",Lines!$O$2:$O$500,"INSTALL",Lines!$D$2:$D$500,"invoice"))</f>
        <v/>
      </c>
      <c r="K36" s="9">
        <f>IF(C36="","",J36-I36)</f>
        <v/>
      </c>
      <c r="L36" s="10">
        <f>IF(C36="","",IFERROR(K36/I36,""))</f>
        <v/>
      </c>
      <c r="M36" s="9">
        <f>IF(C36="","",SUMIFS(Lines!$N$2:$N$500,Lines!$B$2:$B$500,C36,Lines!$C$2:$C$500,D36,Lines!$A$2:$A$500,"line",Lines!$O$2:$O$500,"PRODUCT",Lines!$D$2:$D$500,"quote"))</f>
        <v/>
      </c>
      <c r="N36" s="9">
        <f>IF(C36="","",SUMIFS(Lines!$N$2:$N$500,Lines!$B$2:$B$500,C36,Lines!$C$2:$C$500,D36,Lines!$A$2:$A$500,"line",Lines!$O$2:$O$500,"PRODUCT",Lines!$D$2:$D$500,"invoice"))</f>
        <v/>
      </c>
      <c r="O36" s="9">
        <f>IF(C36="","",N36-M36)</f>
        <v/>
      </c>
      <c r="P36" s="10">
        <f>IF(C36="","",IFERROR(O36/M36,""))</f>
        <v/>
      </c>
      <c r="Q36" s="9">
        <f>IF(C36="","",SUMIFS(Lines!$N$2:$N$500,Lines!$B$2:$B$500,C36,Lines!$C$2:$C$500,D36,Lines!$A$2:$A$500,"line",Lines!$O$2:$O$500,"ALLOWANCE",Lines!$D$2:$D$500,"quote"))</f>
        <v/>
      </c>
      <c r="R36" s="9">
        <f>IF(C36="","",SUMIFS(Lines!$N$2:$N$500,Lines!$B$2:$B$500,C36,Lines!$C$2:$C$500,D36,Lines!$A$2:$A$500,"line",Lines!$O$2:$O$500,"ALLOWANCE",Lines!$D$2:$D$500,"invoice"))</f>
        <v/>
      </c>
      <c r="S36" s="9">
        <f>IF(C36="","",R36-Q36)</f>
        <v/>
      </c>
      <c r="T36" s="10">
        <f>IF(C36="","",IFERROR(S36/Q36,""))</f>
        <v/>
      </c>
      <c r="U36" s="2">
        <f>IF(C36="","",COUNTIFS(Docs!$D$2:$D$51,C36,Docs!$E$2:$E$51,D36,Docs!$F$2:$F$51,"invoice"))</f>
        <v/>
      </c>
      <c r="V36" s="2">
        <f>IF(C36="","",IF(U36=0,"N/A - pending",IF(MAX(ABS(G36),ABS(K36),ABS(O36),ABS(S36))&gt;Settings!$B$2,"Y","N")))</f>
        <v/>
      </c>
      <c r="W36" s="2">
        <f>IF(C36="","",TRIM(IFERROR("LABOUR_ALL: "&amp;INDEX(Notes!$D$3:$D$52,MATCH(C36&amp;"|"&amp;D36&amp;"|LABOUR_ALL",Notes!$E$3:$E$52,0))&amp;" ","")&amp;IFERROR("INSTALL: "&amp;INDEX(Notes!$D$3:$D$52,MATCH(C36&amp;"|"&amp;D36&amp;"|INSTALL",Notes!$E$3:$E$52,0))&amp;" ","")&amp;IFERROR("PRODUCT: "&amp;INDEX(Notes!$D$3:$D$52,MATCH(C36&amp;"|"&amp;D36&amp;"|PRODUCT",Notes!$E$3:$E$52,0))&amp;" ","")&amp;IFERROR("ALLOWANCE: "&amp;INDEX(Notes!$D$3:$D$52,MATCH(C36&amp;"|"&amp;D36&amp;"|ALLOWANCE",Notes!$E$3:$E$52,0))&amp;" ","")))</f>
        <v/>
      </c>
    </row>
    <row r="37">
      <c r="A37" s="2" t="n">
        <v>36</v>
      </c>
      <c r="B37" s="2">
        <f>IFERROR(MATCH(A37,Lines!$AG$2:$AG$500,0),"")</f>
        <v/>
      </c>
      <c r="C37" s="2">
        <f>IF(B37="","",INDEX(Lines!$B$2:$B$500,B37))</f>
        <v/>
      </c>
      <c r="D37" s="2">
        <f>IF(B37="","",INDEX(Lines!$C$2:$C$500,B37))</f>
        <v/>
      </c>
      <c r="E37" s="9">
        <f>IF(C37="","",SUMIFS(Lines!$N$2:$N$500,Lines!$B$2:$B$500,C37,Lines!$C$2:$C$500,D37,Lines!$A$2:$A$500,"line",Lines!$X$2:$X$500,"LABOUR_ALL",Lines!$D$2:$D$500,"quote"))</f>
        <v/>
      </c>
      <c r="F37" s="9">
        <f>IF(C37="","",SUMIFS(Lines!$N$2:$N$500,Lines!$B$2:$B$500,C37,Lines!$C$2:$C$500,D37,Lines!$A$2:$A$500,"line",Lines!$X$2:$X$500,"LABOUR_ALL",Lines!$D$2:$D$500,"invoice"))</f>
        <v/>
      </c>
      <c r="G37" s="9">
        <f>IF(C37="","",F37-E37)</f>
        <v/>
      </c>
      <c r="H37" s="10">
        <f>IF(C37="","",IFERROR(G37/E37,""))</f>
        <v/>
      </c>
      <c r="I37" s="9">
        <f>IF(C37="","",SUMIFS(Lines!$N$2:$N$500,Lines!$B$2:$B$500,C37,Lines!$C$2:$C$500,D37,Lines!$A$2:$A$500,"line",Lines!$O$2:$O$500,"INSTALL",Lines!$D$2:$D$500,"quote"))</f>
        <v/>
      </c>
      <c r="J37" s="9">
        <f>IF(C37="","",SUMIFS(Lines!$N$2:$N$500,Lines!$B$2:$B$500,C37,Lines!$C$2:$C$500,D37,Lines!$A$2:$A$500,"line",Lines!$O$2:$O$500,"INSTALL",Lines!$D$2:$D$500,"invoice"))</f>
        <v/>
      </c>
      <c r="K37" s="9">
        <f>IF(C37="","",J37-I37)</f>
        <v/>
      </c>
      <c r="L37" s="10">
        <f>IF(C37="","",IFERROR(K37/I37,""))</f>
        <v/>
      </c>
      <c r="M37" s="9">
        <f>IF(C37="","",SUMIFS(Lines!$N$2:$N$500,Lines!$B$2:$B$500,C37,Lines!$C$2:$C$500,D37,Lines!$A$2:$A$500,"line",Lines!$O$2:$O$500,"PRODUCT",Lines!$D$2:$D$500,"quote"))</f>
        <v/>
      </c>
      <c r="N37" s="9">
        <f>IF(C37="","",SUMIFS(Lines!$N$2:$N$500,Lines!$B$2:$B$500,C37,Lines!$C$2:$C$500,D37,Lines!$A$2:$A$500,"line",Lines!$O$2:$O$500,"PRODUCT",Lines!$D$2:$D$500,"invoice"))</f>
        <v/>
      </c>
      <c r="O37" s="9">
        <f>IF(C37="","",N37-M37)</f>
        <v/>
      </c>
      <c r="P37" s="10">
        <f>IF(C37="","",IFERROR(O37/M37,""))</f>
        <v/>
      </c>
      <c r="Q37" s="9">
        <f>IF(C37="","",SUMIFS(Lines!$N$2:$N$500,Lines!$B$2:$B$500,C37,Lines!$C$2:$C$500,D37,Lines!$A$2:$A$500,"line",Lines!$O$2:$O$500,"ALLOWANCE",Lines!$D$2:$D$500,"quote"))</f>
        <v/>
      </c>
      <c r="R37" s="9">
        <f>IF(C37="","",SUMIFS(Lines!$N$2:$N$500,Lines!$B$2:$B$500,C37,Lines!$C$2:$C$500,D37,Lines!$A$2:$A$500,"line",Lines!$O$2:$O$500,"ALLOWANCE",Lines!$D$2:$D$500,"invoice"))</f>
        <v/>
      </c>
      <c r="S37" s="9">
        <f>IF(C37="","",R37-Q37)</f>
        <v/>
      </c>
      <c r="T37" s="10">
        <f>IF(C37="","",IFERROR(S37/Q37,""))</f>
        <v/>
      </c>
      <c r="U37" s="2">
        <f>IF(C37="","",COUNTIFS(Docs!$D$2:$D$51,C37,Docs!$E$2:$E$51,D37,Docs!$F$2:$F$51,"invoice"))</f>
        <v/>
      </c>
      <c r="V37" s="2">
        <f>IF(C37="","",IF(U37=0,"N/A - pending",IF(MAX(ABS(G37),ABS(K37),ABS(O37),ABS(S37))&gt;Settings!$B$2,"Y","N")))</f>
        <v/>
      </c>
      <c r="W37" s="2">
        <f>IF(C37="","",TRIM(IFERROR("LABOUR_ALL: "&amp;INDEX(Notes!$D$3:$D$52,MATCH(C37&amp;"|"&amp;D37&amp;"|LABOUR_ALL",Notes!$E$3:$E$52,0))&amp;" ","")&amp;IFERROR("INSTALL: "&amp;INDEX(Notes!$D$3:$D$52,MATCH(C37&amp;"|"&amp;D37&amp;"|INSTALL",Notes!$E$3:$E$52,0))&amp;" ","")&amp;IFERROR("PRODUCT: "&amp;INDEX(Notes!$D$3:$D$52,MATCH(C37&amp;"|"&amp;D37&amp;"|PRODUCT",Notes!$E$3:$E$52,0))&amp;" ","")&amp;IFERROR("ALLOWANCE: "&amp;INDEX(Notes!$D$3:$D$52,MATCH(C37&amp;"|"&amp;D37&amp;"|ALLOWANCE",Notes!$E$3:$E$52,0))&amp;" ","")))</f>
        <v/>
      </c>
    </row>
    <row r="38">
      <c r="A38" s="2" t="n">
        <v>37</v>
      </c>
      <c r="B38" s="2">
        <f>IFERROR(MATCH(A38,Lines!$AG$2:$AG$500,0),"")</f>
        <v/>
      </c>
      <c r="C38" s="2">
        <f>IF(B38="","",INDEX(Lines!$B$2:$B$500,B38))</f>
        <v/>
      </c>
      <c r="D38" s="2">
        <f>IF(B38="","",INDEX(Lines!$C$2:$C$500,B38))</f>
        <v/>
      </c>
      <c r="E38" s="9">
        <f>IF(C38="","",SUMIFS(Lines!$N$2:$N$500,Lines!$B$2:$B$500,C38,Lines!$C$2:$C$500,D38,Lines!$A$2:$A$500,"line",Lines!$X$2:$X$500,"LABOUR_ALL",Lines!$D$2:$D$500,"quote"))</f>
        <v/>
      </c>
      <c r="F38" s="9">
        <f>IF(C38="","",SUMIFS(Lines!$N$2:$N$500,Lines!$B$2:$B$500,C38,Lines!$C$2:$C$500,D38,Lines!$A$2:$A$500,"line",Lines!$X$2:$X$500,"LABOUR_ALL",Lines!$D$2:$D$500,"invoice"))</f>
        <v/>
      </c>
      <c r="G38" s="9">
        <f>IF(C38="","",F38-E38)</f>
        <v/>
      </c>
      <c r="H38" s="10">
        <f>IF(C38="","",IFERROR(G38/E38,""))</f>
        <v/>
      </c>
      <c r="I38" s="9">
        <f>IF(C38="","",SUMIFS(Lines!$N$2:$N$500,Lines!$B$2:$B$500,C38,Lines!$C$2:$C$500,D38,Lines!$A$2:$A$500,"line",Lines!$O$2:$O$500,"INSTALL",Lines!$D$2:$D$500,"quote"))</f>
        <v/>
      </c>
      <c r="J38" s="9">
        <f>IF(C38="","",SUMIFS(Lines!$N$2:$N$500,Lines!$B$2:$B$500,C38,Lines!$C$2:$C$500,D38,Lines!$A$2:$A$500,"line",Lines!$O$2:$O$500,"INSTALL",Lines!$D$2:$D$500,"invoice"))</f>
        <v/>
      </c>
      <c r="K38" s="9">
        <f>IF(C38="","",J38-I38)</f>
        <v/>
      </c>
      <c r="L38" s="10">
        <f>IF(C38="","",IFERROR(K38/I38,""))</f>
        <v/>
      </c>
      <c r="M38" s="9">
        <f>IF(C38="","",SUMIFS(Lines!$N$2:$N$500,Lines!$B$2:$B$500,C38,Lines!$C$2:$C$500,D38,Lines!$A$2:$A$500,"line",Lines!$O$2:$O$500,"PRODUCT",Lines!$D$2:$D$500,"quote"))</f>
        <v/>
      </c>
      <c r="N38" s="9">
        <f>IF(C38="","",SUMIFS(Lines!$N$2:$N$500,Lines!$B$2:$B$500,C38,Lines!$C$2:$C$500,D38,Lines!$A$2:$A$500,"line",Lines!$O$2:$O$500,"PRODUCT",Lines!$D$2:$D$500,"invoice"))</f>
        <v/>
      </c>
      <c r="O38" s="9">
        <f>IF(C38="","",N38-M38)</f>
        <v/>
      </c>
      <c r="P38" s="10">
        <f>IF(C38="","",IFERROR(O38/M38,""))</f>
        <v/>
      </c>
      <c r="Q38" s="9">
        <f>IF(C38="","",SUMIFS(Lines!$N$2:$N$500,Lines!$B$2:$B$500,C38,Lines!$C$2:$C$500,D38,Lines!$A$2:$A$500,"line",Lines!$O$2:$O$500,"ALLOWANCE",Lines!$D$2:$D$500,"quote"))</f>
        <v/>
      </c>
      <c r="R38" s="9">
        <f>IF(C38="","",SUMIFS(Lines!$N$2:$N$500,Lines!$B$2:$B$500,C38,Lines!$C$2:$C$500,D38,Lines!$A$2:$A$500,"line",Lines!$O$2:$O$500,"ALLOWANCE",Lines!$D$2:$D$500,"invoice"))</f>
        <v/>
      </c>
      <c r="S38" s="9">
        <f>IF(C38="","",R38-Q38)</f>
        <v/>
      </c>
      <c r="T38" s="10">
        <f>IF(C38="","",IFERROR(S38/Q38,""))</f>
        <v/>
      </c>
      <c r="U38" s="2">
        <f>IF(C38="","",COUNTIFS(Docs!$D$2:$D$51,C38,Docs!$E$2:$E$51,D38,Docs!$F$2:$F$51,"invoice"))</f>
        <v/>
      </c>
      <c r="V38" s="2">
        <f>IF(C38="","",IF(U38=0,"N/A - pending",IF(MAX(ABS(G38),ABS(K38),ABS(O38),ABS(S38))&gt;Settings!$B$2,"Y","N")))</f>
        <v/>
      </c>
      <c r="W38" s="2">
        <f>IF(C38="","",TRIM(IFERROR("LABOUR_ALL: "&amp;INDEX(Notes!$D$3:$D$52,MATCH(C38&amp;"|"&amp;D38&amp;"|LABOUR_ALL",Notes!$E$3:$E$52,0))&amp;" ","")&amp;IFERROR("INSTALL: "&amp;INDEX(Notes!$D$3:$D$52,MATCH(C38&amp;"|"&amp;D38&amp;"|INSTALL",Notes!$E$3:$E$52,0))&amp;" ","")&amp;IFERROR("PRODUCT: "&amp;INDEX(Notes!$D$3:$D$52,MATCH(C38&amp;"|"&amp;D38&amp;"|PRODUCT",Notes!$E$3:$E$52,0))&amp;" ","")&amp;IFERROR("ALLOWANCE: "&amp;INDEX(Notes!$D$3:$D$52,MATCH(C38&amp;"|"&amp;D38&amp;"|ALLOWANCE",Notes!$E$3:$E$52,0))&amp;" ","")))</f>
        <v/>
      </c>
    </row>
    <row r="39">
      <c r="A39" s="2" t="n">
        <v>38</v>
      </c>
      <c r="B39" s="2">
        <f>IFERROR(MATCH(A39,Lines!$AG$2:$AG$500,0),"")</f>
        <v/>
      </c>
      <c r="C39" s="2">
        <f>IF(B39="","",INDEX(Lines!$B$2:$B$500,B39))</f>
        <v/>
      </c>
      <c r="D39" s="2">
        <f>IF(B39="","",INDEX(Lines!$C$2:$C$500,B39))</f>
        <v/>
      </c>
      <c r="E39" s="9">
        <f>IF(C39="","",SUMIFS(Lines!$N$2:$N$500,Lines!$B$2:$B$500,C39,Lines!$C$2:$C$500,D39,Lines!$A$2:$A$500,"line",Lines!$X$2:$X$500,"LABOUR_ALL",Lines!$D$2:$D$500,"quote"))</f>
        <v/>
      </c>
      <c r="F39" s="9">
        <f>IF(C39="","",SUMIFS(Lines!$N$2:$N$500,Lines!$B$2:$B$500,C39,Lines!$C$2:$C$500,D39,Lines!$A$2:$A$500,"line",Lines!$X$2:$X$500,"LABOUR_ALL",Lines!$D$2:$D$500,"invoice"))</f>
        <v/>
      </c>
      <c r="G39" s="9">
        <f>IF(C39="","",F39-E39)</f>
        <v/>
      </c>
      <c r="H39" s="10">
        <f>IF(C39="","",IFERROR(G39/E39,""))</f>
        <v/>
      </c>
      <c r="I39" s="9">
        <f>IF(C39="","",SUMIFS(Lines!$N$2:$N$500,Lines!$B$2:$B$500,C39,Lines!$C$2:$C$500,D39,Lines!$A$2:$A$500,"line",Lines!$O$2:$O$500,"INSTALL",Lines!$D$2:$D$500,"quote"))</f>
        <v/>
      </c>
      <c r="J39" s="9">
        <f>IF(C39="","",SUMIFS(Lines!$N$2:$N$500,Lines!$B$2:$B$500,C39,Lines!$C$2:$C$500,D39,Lines!$A$2:$A$500,"line",Lines!$O$2:$O$500,"INSTALL",Lines!$D$2:$D$500,"invoice"))</f>
        <v/>
      </c>
      <c r="K39" s="9">
        <f>IF(C39="","",J39-I39)</f>
        <v/>
      </c>
      <c r="L39" s="10">
        <f>IF(C39="","",IFERROR(K39/I39,""))</f>
        <v/>
      </c>
      <c r="M39" s="9">
        <f>IF(C39="","",SUMIFS(Lines!$N$2:$N$500,Lines!$B$2:$B$500,C39,Lines!$C$2:$C$500,D39,Lines!$A$2:$A$500,"line",Lines!$O$2:$O$500,"PRODUCT",Lines!$D$2:$D$500,"quote"))</f>
        <v/>
      </c>
      <c r="N39" s="9">
        <f>IF(C39="","",SUMIFS(Lines!$N$2:$N$500,Lines!$B$2:$B$500,C39,Lines!$C$2:$C$500,D39,Lines!$A$2:$A$500,"line",Lines!$O$2:$O$500,"PRODUCT",Lines!$D$2:$D$500,"invoice"))</f>
        <v/>
      </c>
      <c r="O39" s="9">
        <f>IF(C39="","",N39-M39)</f>
        <v/>
      </c>
      <c r="P39" s="10">
        <f>IF(C39="","",IFERROR(O39/M39,""))</f>
        <v/>
      </c>
      <c r="Q39" s="9">
        <f>IF(C39="","",SUMIFS(Lines!$N$2:$N$500,Lines!$B$2:$B$500,C39,Lines!$C$2:$C$500,D39,Lines!$A$2:$A$500,"line",Lines!$O$2:$O$500,"ALLOWANCE",Lines!$D$2:$D$500,"quote"))</f>
        <v/>
      </c>
      <c r="R39" s="9">
        <f>IF(C39="","",SUMIFS(Lines!$N$2:$N$500,Lines!$B$2:$B$500,C39,Lines!$C$2:$C$500,D39,Lines!$A$2:$A$500,"line",Lines!$O$2:$O$500,"ALLOWANCE",Lines!$D$2:$D$500,"invoice"))</f>
        <v/>
      </c>
      <c r="S39" s="9">
        <f>IF(C39="","",R39-Q39)</f>
        <v/>
      </c>
      <c r="T39" s="10">
        <f>IF(C39="","",IFERROR(S39/Q39,""))</f>
        <v/>
      </c>
      <c r="U39" s="2">
        <f>IF(C39="","",COUNTIFS(Docs!$D$2:$D$51,C39,Docs!$E$2:$E$51,D39,Docs!$F$2:$F$51,"invoice"))</f>
        <v/>
      </c>
      <c r="V39" s="2">
        <f>IF(C39="","",IF(U39=0,"N/A - pending",IF(MAX(ABS(G39),ABS(K39),ABS(O39),ABS(S39))&gt;Settings!$B$2,"Y","N")))</f>
        <v/>
      </c>
      <c r="W39" s="2">
        <f>IF(C39="","",TRIM(IFERROR("LABOUR_ALL: "&amp;INDEX(Notes!$D$3:$D$52,MATCH(C39&amp;"|"&amp;D39&amp;"|LABOUR_ALL",Notes!$E$3:$E$52,0))&amp;" ","")&amp;IFERROR("INSTALL: "&amp;INDEX(Notes!$D$3:$D$52,MATCH(C39&amp;"|"&amp;D39&amp;"|INSTALL",Notes!$E$3:$E$52,0))&amp;" ","")&amp;IFERROR("PRODUCT: "&amp;INDEX(Notes!$D$3:$D$52,MATCH(C39&amp;"|"&amp;D39&amp;"|PRODUCT",Notes!$E$3:$E$52,0))&amp;" ","")&amp;IFERROR("ALLOWANCE: "&amp;INDEX(Notes!$D$3:$D$52,MATCH(C39&amp;"|"&amp;D39&amp;"|ALLOWANCE",Notes!$E$3:$E$52,0))&amp;" ","")))</f>
        <v/>
      </c>
    </row>
    <row r="40">
      <c r="A40" s="2" t="n">
        <v>39</v>
      </c>
      <c r="B40" s="2">
        <f>IFERROR(MATCH(A40,Lines!$AG$2:$AG$500,0),"")</f>
        <v/>
      </c>
      <c r="C40" s="2">
        <f>IF(B40="","",INDEX(Lines!$B$2:$B$500,B40))</f>
        <v/>
      </c>
      <c r="D40" s="2">
        <f>IF(B40="","",INDEX(Lines!$C$2:$C$500,B40))</f>
        <v/>
      </c>
      <c r="E40" s="9">
        <f>IF(C40="","",SUMIFS(Lines!$N$2:$N$500,Lines!$B$2:$B$500,C40,Lines!$C$2:$C$500,D40,Lines!$A$2:$A$500,"line",Lines!$X$2:$X$500,"LABOUR_ALL",Lines!$D$2:$D$500,"quote"))</f>
        <v/>
      </c>
      <c r="F40" s="9">
        <f>IF(C40="","",SUMIFS(Lines!$N$2:$N$500,Lines!$B$2:$B$500,C40,Lines!$C$2:$C$500,D40,Lines!$A$2:$A$500,"line",Lines!$X$2:$X$500,"LABOUR_ALL",Lines!$D$2:$D$500,"invoice"))</f>
        <v/>
      </c>
      <c r="G40" s="9">
        <f>IF(C40="","",F40-E40)</f>
        <v/>
      </c>
      <c r="H40" s="10">
        <f>IF(C40="","",IFERROR(G40/E40,""))</f>
        <v/>
      </c>
      <c r="I40" s="9">
        <f>IF(C40="","",SUMIFS(Lines!$N$2:$N$500,Lines!$B$2:$B$500,C40,Lines!$C$2:$C$500,D40,Lines!$A$2:$A$500,"line",Lines!$O$2:$O$500,"INSTALL",Lines!$D$2:$D$500,"quote"))</f>
        <v/>
      </c>
      <c r="J40" s="9">
        <f>IF(C40="","",SUMIFS(Lines!$N$2:$N$500,Lines!$B$2:$B$500,C40,Lines!$C$2:$C$500,D40,Lines!$A$2:$A$500,"line",Lines!$O$2:$O$500,"INSTALL",Lines!$D$2:$D$500,"invoice"))</f>
        <v/>
      </c>
      <c r="K40" s="9">
        <f>IF(C40="","",J40-I40)</f>
        <v/>
      </c>
      <c r="L40" s="10">
        <f>IF(C40="","",IFERROR(K40/I40,""))</f>
        <v/>
      </c>
      <c r="M40" s="9">
        <f>IF(C40="","",SUMIFS(Lines!$N$2:$N$500,Lines!$B$2:$B$500,C40,Lines!$C$2:$C$500,D40,Lines!$A$2:$A$500,"line",Lines!$O$2:$O$500,"PRODUCT",Lines!$D$2:$D$500,"quote"))</f>
        <v/>
      </c>
      <c r="N40" s="9">
        <f>IF(C40="","",SUMIFS(Lines!$N$2:$N$500,Lines!$B$2:$B$500,C40,Lines!$C$2:$C$500,D40,Lines!$A$2:$A$500,"line",Lines!$O$2:$O$500,"PRODUCT",Lines!$D$2:$D$500,"invoice"))</f>
        <v/>
      </c>
      <c r="O40" s="9">
        <f>IF(C40="","",N40-M40)</f>
        <v/>
      </c>
      <c r="P40" s="10">
        <f>IF(C40="","",IFERROR(O40/M40,""))</f>
        <v/>
      </c>
      <c r="Q40" s="9">
        <f>IF(C40="","",SUMIFS(Lines!$N$2:$N$500,Lines!$B$2:$B$500,C40,Lines!$C$2:$C$500,D40,Lines!$A$2:$A$500,"line",Lines!$O$2:$O$500,"ALLOWANCE",Lines!$D$2:$D$500,"quote"))</f>
        <v/>
      </c>
      <c r="R40" s="9">
        <f>IF(C40="","",SUMIFS(Lines!$N$2:$N$500,Lines!$B$2:$B$500,C40,Lines!$C$2:$C$500,D40,Lines!$A$2:$A$500,"line",Lines!$O$2:$O$500,"ALLOWANCE",Lines!$D$2:$D$500,"invoice"))</f>
        <v/>
      </c>
      <c r="S40" s="9">
        <f>IF(C40="","",R40-Q40)</f>
        <v/>
      </c>
      <c r="T40" s="10">
        <f>IF(C40="","",IFERROR(S40/Q40,""))</f>
        <v/>
      </c>
      <c r="U40" s="2">
        <f>IF(C40="","",COUNTIFS(Docs!$D$2:$D$51,C40,Docs!$E$2:$E$51,D40,Docs!$F$2:$F$51,"invoice"))</f>
        <v/>
      </c>
      <c r="V40" s="2">
        <f>IF(C40="","",IF(U40=0,"N/A - pending",IF(MAX(ABS(G40),ABS(K40),ABS(O40),ABS(S40))&gt;Settings!$B$2,"Y","N")))</f>
        <v/>
      </c>
      <c r="W40" s="2">
        <f>IF(C40="","",TRIM(IFERROR("LABOUR_ALL: "&amp;INDEX(Notes!$D$3:$D$52,MATCH(C40&amp;"|"&amp;D40&amp;"|LABOUR_ALL",Notes!$E$3:$E$52,0))&amp;" ","")&amp;IFERROR("INSTALL: "&amp;INDEX(Notes!$D$3:$D$52,MATCH(C40&amp;"|"&amp;D40&amp;"|INSTALL",Notes!$E$3:$E$52,0))&amp;" ","")&amp;IFERROR("PRODUCT: "&amp;INDEX(Notes!$D$3:$D$52,MATCH(C40&amp;"|"&amp;D40&amp;"|PRODUCT",Notes!$E$3:$E$52,0))&amp;" ","")&amp;IFERROR("ALLOWANCE: "&amp;INDEX(Notes!$D$3:$D$52,MATCH(C40&amp;"|"&amp;D40&amp;"|ALLOWANCE",Notes!$E$3:$E$52,0))&amp;" ","")))</f>
        <v/>
      </c>
    </row>
    <row r="41">
      <c r="A41" s="2" t="n">
        <v>40</v>
      </c>
      <c r="B41" s="2">
        <f>IFERROR(MATCH(A41,Lines!$AG$2:$AG$500,0),"")</f>
        <v/>
      </c>
      <c r="C41" s="2">
        <f>IF(B41="","",INDEX(Lines!$B$2:$B$500,B41))</f>
        <v/>
      </c>
      <c r="D41" s="2">
        <f>IF(B41="","",INDEX(Lines!$C$2:$C$500,B41))</f>
        <v/>
      </c>
      <c r="E41" s="9">
        <f>IF(C41="","",SUMIFS(Lines!$N$2:$N$500,Lines!$B$2:$B$500,C41,Lines!$C$2:$C$500,D41,Lines!$A$2:$A$500,"line",Lines!$X$2:$X$500,"LABOUR_ALL",Lines!$D$2:$D$500,"quote"))</f>
        <v/>
      </c>
      <c r="F41" s="9">
        <f>IF(C41="","",SUMIFS(Lines!$N$2:$N$500,Lines!$B$2:$B$500,C41,Lines!$C$2:$C$500,D41,Lines!$A$2:$A$500,"line",Lines!$X$2:$X$500,"LABOUR_ALL",Lines!$D$2:$D$500,"invoice"))</f>
        <v/>
      </c>
      <c r="G41" s="9">
        <f>IF(C41="","",F41-E41)</f>
        <v/>
      </c>
      <c r="H41" s="10">
        <f>IF(C41="","",IFERROR(G41/E41,""))</f>
        <v/>
      </c>
      <c r="I41" s="9">
        <f>IF(C41="","",SUMIFS(Lines!$N$2:$N$500,Lines!$B$2:$B$500,C41,Lines!$C$2:$C$500,D41,Lines!$A$2:$A$500,"line",Lines!$O$2:$O$500,"INSTALL",Lines!$D$2:$D$500,"quote"))</f>
        <v/>
      </c>
      <c r="J41" s="9">
        <f>IF(C41="","",SUMIFS(Lines!$N$2:$N$500,Lines!$B$2:$B$500,C41,Lines!$C$2:$C$500,D41,Lines!$A$2:$A$500,"line",Lines!$O$2:$O$500,"INSTALL",Lines!$D$2:$D$500,"invoice"))</f>
        <v/>
      </c>
      <c r="K41" s="9">
        <f>IF(C41="","",J41-I41)</f>
        <v/>
      </c>
      <c r="L41" s="10">
        <f>IF(C41="","",IFERROR(K41/I41,""))</f>
        <v/>
      </c>
      <c r="M41" s="9">
        <f>IF(C41="","",SUMIFS(Lines!$N$2:$N$500,Lines!$B$2:$B$500,C41,Lines!$C$2:$C$500,D41,Lines!$A$2:$A$500,"line",Lines!$O$2:$O$500,"PRODUCT",Lines!$D$2:$D$500,"quote"))</f>
        <v/>
      </c>
      <c r="N41" s="9">
        <f>IF(C41="","",SUMIFS(Lines!$N$2:$N$500,Lines!$B$2:$B$500,C41,Lines!$C$2:$C$500,D41,Lines!$A$2:$A$500,"line",Lines!$O$2:$O$500,"PRODUCT",Lines!$D$2:$D$500,"invoice"))</f>
        <v/>
      </c>
      <c r="O41" s="9">
        <f>IF(C41="","",N41-M41)</f>
        <v/>
      </c>
      <c r="P41" s="10">
        <f>IF(C41="","",IFERROR(O41/M41,""))</f>
        <v/>
      </c>
      <c r="Q41" s="9">
        <f>IF(C41="","",SUMIFS(Lines!$N$2:$N$500,Lines!$B$2:$B$500,C41,Lines!$C$2:$C$500,D41,Lines!$A$2:$A$500,"line",Lines!$O$2:$O$500,"ALLOWANCE",Lines!$D$2:$D$500,"quote"))</f>
        <v/>
      </c>
      <c r="R41" s="9">
        <f>IF(C41="","",SUMIFS(Lines!$N$2:$N$500,Lines!$B$2:$B$500,C41,Lines!$C$2:$C$500,D41,Lines!$A$2:$A$500,"line",Lines!$O$2:$O$500,"ALLOWANCE",Lines!$D$2:$D$500,"invoice"))</f>
        <v/>
      </c>
      <c r="S41" s="9">
        <f>IF(C41="","",R41-Q41)</f>
        <v/>
      </c>
      <c r="T41" s="10">
        <f>IF(C41="","",IFERROR(S41/Q41,""))</f>
        <v/>
      </c>
      <c r="U41" s="2">
        <f>IF(C41="","",COUNTIFS(Docs!$D$2:$D$51,C41,Docs!$E$2:$E$51,D41,Docs!$F$2:$F$51,"invoice"))</f>
        <v/>
      </c>
      <c r="V41" s="2">
        <f>IF(C41="","",IF(U41=0,"N/A - pending",IF(MAX(ABS(G41),ABS(K41),ABS(O41),ABS(S41))&gt;Settings!$B$2,"Y","N")))</f>
        <v/>
      </c>
      <c r="W41" s="2">
        <f>IF(C41="","",TRIM(IFERROR("LABOUR_ALL: "&amp;INDEX(Notes!$D$3:$D$52,MATCH(C41&amp;"|"&amp;D41&amp;"|LABOUR_ALL",Notes!$E$3:$E$52,0))&amp;" ","")&amp;IFERROR("INSTALL: "&amp;INDEX(Notes!$D$3:$D$52,MATCH(C41&amp;"|"&amp;D41&amp;"|INSTALL",Notes!$E$3:$E$52,0))&amp;" ","")&amp;IFERROR("PRODUCT: "&amp;INDEX(Notes!$D$3:$D$52,MATCH(C41&amp;"|"&amp;D41&amp;"|PRODUCT",Notes!$E$3:$E$52,0))&amp;" ","")&amp;IFERROR("ALLOWANCE: "&amp;INDEX(Notes!$D$3:$D$52,MATCH(C41&amp;"|"&amp;D41&amp;"|ALLOWANCE",Notes!$E$3:$E$52,0))&amp;" ","")))</f>
        <v/>
      </c>
    </row>
    <row r="42">
      <c r="A42" s="2" t="n">
        <v>41</v>
      </c>
      <c r="B42" s="2">
        <f>IFERROR(MATCH(A42,Lines!$AG$2:$AG$500,0),"")</f>
        <v/>
      </c>
      <c r="C42" s="2">
        <f>IF(B42="","",INDEX(Lines!$B$2:$B$500,B42))</f>
        <v/>
      </c>
      <c r="D42" s="2">
        <f>IF(B42="","",INDEX(Lines!$C$2:$C$500,B42))</f>
        <v/>
      </c>
      <c r="E42" s="9">
        <f>IF(C42="","",SUMIFS(Lines!$N$2:$N$500,Lines!$B$2:$B$500,C42,Lines!$C$2:$C$500,D42,Lines!$A$2:$A$500,"line",Lines!$X$2:$X$500,"LABOUR_ALL",Lines!$D$2:$D$500,"quote"))</f>
        <v/>
      </c>
      <c r="F42" s="9">
        <f>IF(C42="","",SUMIFS(Lines!$N$2:$N$500,Lines!$B$2:$B$500,C42,Lines!$C$2:$C$500,D42,Lines!$A$2:$A$500,"line",Lines!$X$2:$X$500,"LABOUR_ALL",Lines!$D$2:$D$500,"invoice"))</f>
        <v/>
      </c>
      <c r="G42" s="9">
        <f>IF(C42="","",F42-E42)</f>
        <v/>
      </c>
      <c r="H42" s="10">
        <f>IF(C42="","",IFERROR(G42/E42,""))</f>
        <v/>
      </c>
      <c r="I42" s="9">
        <f>IF(C42="","",SUMIFS(Lines!$N$2:$N$500,Lines!$B$2:$B$500,C42,Lines!$C$2:$C$500,D42,Lines!$A$2:$A$500,"line",Lines!$O$2:$O$500,"INSTALL",Lines!$D$2:$D$500,"quote"))</f>
        <v/>
      </c>
      <c r="J42" s="9">
        <f>IF(C42="","",SUMIFS(Lines!$N$2:$N$500,Lines!$B$2:$B$500,C42,Lines!$C$2:$C$500,D42,Lines!$A$2:$A$500,"line",Lines!$O$2:$O$500,"INSTALL",Lines!$D$2:$D$500,"invoice"))</f>
        <v/>
      </c>
      <c r="K42" s="9">
        <f>IF(C42="","",J42-I42)</f>
        <v/>
      </c>
      <c r="L42" s="10">
        <f>IF(C42="","",IFERROR(K42/I42,""))</f>
        <v/>
      </c>
      <c r="M42" s="9">
        <f>IF(C42="","",SUMIFS(Lines!$N$2:$N$500,Lines!$B$2:$B$500,C42,Lines!$C$2:$C$500,D42,Lines!$A$2:$A$500,"line",Lines!$O$2:$O$500,"PRODUCT",Lines!$D$2:$D$500,"quote"))</f>
        <v/>
      </c>
      <c r="N42" s="9">
        <f>IF(C42="","",SUMIFS(Lines!$N$2:$N$500,Lines!$B$2:$B$500,C42,Lines!$C$2:$C$500,D42,Lines!$A$2:$A$500,"line",Lines!$O$2:$O$500,"PRODUCT",Lines!$D$2:$D$500,"invoice"))</f>
        <v/>
      </c>
      <c r="O42" s="9">
        <f>IF(C42="","",N42-M42)</f>
        <v/>
      </c>
      <c r="P42" s="10">
        <f>IF(C42="","",IFERROR(O42/M42,""))</f>
        <v/>
      </c>
      <c r="Q42" s="9">
        <f>IF(C42="","",SUMIFS(Lines!$N$2:$N$500,Lines!$B$2:$B$500,C42,Lines!$C$2:$C$500,D42,Lines!$A$2:$A$500,"line",Lines!$O$2:$O$500,"ALLOWANCE",Lines!$D$2:$D$500,"quote"))</f>
        <v/>
      </c>
      <c r="R42" s="9">
        <f>IF(C42="","",SUMIFS(Lines!$N$2:$N$500,Lines!$B$2:$B$500,C42,Lines!$C$2:$C$500,D42,Lines!$A$2:$A$500,"line",Lines!$O$2:$O$500,"ALLOWANCE",Lines!$D$2:$D$500,"invoice"))</f>
        <v/>
      </c>
      <c r="S42" s="9">
        <f>IF(C42="","",R42-Q42)</f>
        <v/>
      </c>
      <c r="T42" s="10">
        <f>IF(C42="","",IFERROR(S42/Q42,""))</f>
        <v/>
      </c>
      <c r="U42" s="2">
        <f>IF(C42="","",COUNTIFS(Docs!$D$2:$D$51,C42,Docs!$E$2:$E$51,D42,Docs!$F$2:$F$51,"invoice"))</f>
        <v/>
      </c>
      <c r="V42" s="2">
        <f>IF(C42="","",IF(U42=0,"N/A - pending",IF(MAX(ABS(G42),ABS(K42),ABS(O42),ABS(S42))&gt;Settings!$B$2,"Y","N")))</f>
        <v/>
      </c>
      <c r="W42" s="2">
        <f>IF(C42="","",TRIM(IFERROR("LABOUR_ALL: "&amp;INDEX(Notes!$D$3:$D$52,MATCH(C42&amp;"|"&amp;D42&amp;"|LABOUR_ALL",Notes!$E$3:$E$52,0))&amp;" ","")&amp;IFERROR("INSTALL: "&amp;INDEX(Notes!$D$3:$D$52,MATCH(C42&amp;"|"&amp;D42&amp;"|INSTALL",Notes!$E$3:$E$52,0))&amp;" ","")&amp;IFERROR("PRODUCT: "&amp;INDEX(Notes!$D$3:$D$52,MATCH(C42&amp;"|"&amp;D42&amp;"|PRODUCT",Notes!$E$3:$E$52,0))&amp;" ","")&amp;IFERROR("ALLOWANCE: "&amp;INDEX(Notes!$D$3:$D$52,MATCH(C42&amp;"|"&amp;D42&amp;"|ALLOWANCE",Notes!$E$3:$E$52,0))&amp;" ","")))</f>
        <v/>
      </c>
    </row>
    <row r="43">
      <c r="A43" s="2" t="n">
        <v>42</v>
      </c>
      <c r="B43" s="2">
        <f>IFERROR(MATCH(A43,Lines!$AG$2:$AG$500,0),"")</f>
        <v/>
      </c>
      <c r="C43" s="2">
        <f>IF(B43="","",INDEX(Lines!$B$2:$B$500,B43))</f>
        <v/>
      </c>
      <c r="D43" s="2">
        <f>IF(B43="","",INDEX(Lines!$C$2:$C$500,B43))</f>
        <v/>
      </c>
      <c r="E43" s="9">
        <f>IF(C43="","",SUMIFS(Lines!$N$2:$N$500,Lines!$B$2:$B$500,C43,Lines!$C$2:$C$500,D43,Lines!$A$2:$A$500,"line",Lines!$X$2:$X$500,"LABOUR_ALL",Lines!$D$2:$D$500,"quote"))</f>
        <v/>
      </c>
      <c r="F43" s="9">
        <f>IF(C43="","",SUMIFS(Lines!$N$2:$N$500,Lines!$B$2:$B$500,C43,Lines!$C$2:$C$500,D43,Lines!$A$2:$A$500,"line",Lines!$X$2:$X$500,"LABOUR_ALL",Lines!$D$2:$D$500,"invoice"))</f>
        <v/>
      </c>
      <c r="G43" s="9">
        <f>IF(C43="","",F43-E43)</f>
        <v/>
      </c>
      <c r="H43" s="10">
        <f>IF(C43="","",IFERROR(G43/E43,""))</f>
        <v/>
      </c>
      <c r="I43" s="9">
        <f>IF(C43="","",SUMIFS(Lines!$N$2:$N$500,Lines!$B$2:$B$500,C43,Lines!$C$2:$C$500,D43,Lines!$A$2:$A$500,"line",Lines!$O$2:$O$500,"INSTALL",Lines!$D$2:$D$500,"quote"))</f>
        <v/>
      </c>
      <c r="J43" s="9">
        <f>IF(C43="","",SUMIFS(Lines!$N$2:$N$500,Lines!$B$2:$B$500,C43,Lines!$C$2:$C$500,D43,Lines!$A$2:$A$500,"line",Lines!$O$2:$O$500,"INSTALL",Lines!$D$2:$D$500,"invoice"))</f>
        <v/>
      </c>
      <c r="K43" s="9">
        <f>IF(C43="","",J43-I43)</f>
        <v/>
      </c>
      <c r="L43" s="10">
        <f>IF(C43="","",IFERROR(K43/I43,""))</f>
        <v/>
      </c>
      <c r="M43" s="9">
        <f>IF(C43="","",SUMIFS(Lines!$N$2:$N$500,Lines!$B$2:$B$500,C43,Lines!$C$2:$C$500,D43,Lines!$A$2:$A$500,"line",Lines!$O$2:$O$500,"PRODUCT",Lines!$D$2:$D$500,"quote"))</f>
        <v/>
      </c>
      <c r="N43" s="9">
        <f>IF(C43="","",SUMIFS(Lines!$N$2:$N$500,Lines!$B$2:$B$500,C43,Lines!$C$2:$C$500,D43,Lines!$A$2:$A$500,"line",Lines!$O$2:$O$500,"PRODUCT",Lines!$D$2:$D$500,"invoice"))</f>
        <v/>
      </c>
      <c r="O43" s="9">
        <f>IF(C43="","",N43-M43)</f>
        <v/>
      </c>
      <c r="P43" s="10">
        <f>IF(C43="","",IFERROR(O43/M43,""))</f>
        <v/>
      </c>
      <c r="Q43" s="9">
        <f>IF(C43="","",SUMIFS(Lines!$N$2:$N$500,Lines!$B$2:$B$500,C43,Lines!$C$2:$C$500,D43,Lines!$A$2:$A$500,"line",Lines!$O$2:$O$500,"ALLOWANCE",Lines!$D$2:$D$500,"quote"))</f>
        <v/>
      </c>
      <c r="R43" s="9">
        <f>IF(C43="","",SUMIFS(Lines!$N$2:$N$500,Lines!$B$2:$B$500,C43,Lines!$C$2:$C$500,D43,Lines!$A$2:$A$500,"line",Lines!$O$2:$O$500,"ALLOWANCE",Lines!$D$2:$D$500,"invoice"))</f>
        <v/>
      </c>
      <c r="S43" s="9">
        <f>IF(C43="","",R43-Q43)</f>
        <v/>
      </c>
      <c r="T43" s="10">
        <f>IF(C43="","",IFERROR(S43/Q43,""))</f>
        <v/>
      </c>
      <c r="U43" s="2">
        <f>IF(C43="","",COUNTIFS(Docs!$D$2:$D$51,C43,Docs!$E$2:$E$51,D43,Docs!$F$2:$F$51,"invoice"))</f>
        <v/>
      </c>
      <c r="V43" s="2">
        <f>IF(C43="","",IF(U43=0,"N/A - pending",IF(MAX(ABS(G43),ABS(K43),ABS(O43),ABS(S43))&gt;Settings!$B$2,"Y","N")))</f>
        <v/>
      </c>
      <c r="W43" s="2">
        <f>IF(C43="","",TRIM(IFERROR("LABOUR_ALL: "&amp;INDEX(Notes!$D$3:$D$52,MATCH(C43&amp;"|"&amp;D43&amp;"|LABOUR_ALL",Notes!$E$3:$E$52,0))&amp;" ","")&amp;IFERROR("INSTALL: "&amp;INDEX(Notes!$D$3:$D$52,MATCH(C43&amp;"|"&amp;D43&amp;"|INSTALL",Notes!$E$3:$E$52,0))&amp;" ","")&amp;IFERROR("PRODUCT: "&amp;INDEX(Notes!$D$3:$D$52,MATCH(C43&amp;"|"&amp;D43&amp;"|PRODUCT",Notes!$E$3:$E$52,0))&amp;" ","")&amp;IFERROR("ALLOWANCE: "&amp;INDEX(Notes!$D$3:$D$52,MATCH(C43&amp;"|"&amp;D43&amp;"|ALLOWANCE",Notes!$E$3:$E$52,0))&amp;" ","")))</f>
        <v/>
      </c>
    </row>
    <row r="44">
      <c r="A44" s="2" t="n">
        <v>43</v>
      </c>
      <c r="B44" s="2">
        <f>IFERROR(MATCH(A44,Lines!$AG$2:$AG$500,0),"")</f>
        <v/>
      </c>
      <c r="C44" s="2">
        <f>IF(B44="","",INDEX(Lines!$B$2:$B$500,B44))</f>
        <v/>
      </c>
      <c r="D44" s="2">
        <f>IF(B44="","",INDEX(Lines!$C$2:$C$500,B44))</f>
        <v/>
      </c>
      <c r="E44" s="9">
        <f>IF(C44="","",SUMIFS(Lines!$N$2:$N$500,Lines!$B$2:$B$500,C44,Lines!$C$2:$C$500,D44,Lines!$A$2:$A$500,"line",Lines!$X$2:$X$500,"LABOUR_ALL",Lines!$D$2:$D$500,"quote"))</f>
        <v/>
      </c>
      <c r="F44" s="9">
        <f>IF(C44="","",SUMIFS(Lines!$N$2:$N$500,Lines!$B$2:$B$500,C44,Lines!$C$2:$C$500,D44,Lines!$A$2:$A$500,"line",Lines!$X$2:$X$500,"LABOUR_ALL",Lines!$D$2:$D$500,"invoice"))</f>
        <v/>
      </c>
      <c r="G44" s="9">
        <f>IF(C44="","",F44-E44)</f>
        <v/>
      </c>
      <c r="H44" s="10">
        <f>IF(C44="","",IFERROR(G44/E44,""))</f>
        <v/>
      </c>
      <c r="I44" s="9">
        <f>IF(C44="","",SUMIFS(Lines!$N$2:$N$500,Lines!$B$2:$B$500,C44,Lines!$C$2:$C$500,D44,Lines!$A$2:$A$500,"line",Lines!$O$2:$O$500,"INSTALL",Lines!$D$2:$D$500,"quote"))</f>
        <v/>
      </c>
      <c r="J44" s="9">
        <f>IF(C44="","",SUMIFS(Lines!$N$2:$N$500,Lines!$B$2:$B$500,C44,Lines!$C$2:$C$500,D44,Lines!$A$2:$A$500,"line",Lines!$O$2:$O$500,"INSTALL",Lines!$D$2:$D$500,"invoice"))</f>
        <v/>
      </c>
      <c r="K44" s="9">
        <f>IF(C44="","",J44-I44)</f>
        <v/>
      </c>
      <c r="L44" s="10">
        <f>IF(C44="","",IFERROR(K44/I44,""))</f>
        <v/>
      </c>
      <c r="M44" s="9">
        <f>IF(C44="","",SUMIFS(Lines!$N$2:$N$500,Lines!$B$2:$B$500,C44,Lines!$C$2:$C$500,D44,Lines!$A$2:$A$500,"line",Lines!$O$2:$O$500,"PRODUCT",Lines!$D$2:$D$500,"quote"))</f>
        <v/>
      </c>
      <c r="N44" s="9">
        <f>IF(C44="","",SUMIFS(Lines!$N$2:$N$500,Lines!$B$2:$B$500,C44,Lines!$C$2:$C$500,D44,Lines!$A$2:$A$500,"line",Lines!$O$2:$O$500,"PRODUCT",Lines!$D$2:$D$500,"invoice"))</f>
        <v/>
      </c>
      <c r="O44" s="9">
        <f>IF(C44="","",N44-M44)</f>
        <v/>
      </c>
      <c r="P44" s="10">
        <f>IF(C44="","",IFERROR(O44/M44,""))</f>
        <v/>
      </c>
      <c r="Q44" s="9">
        <f>IF(C44="","",SUMIFS(Lines!$N$2:$N$500,Lines!$B$2:$B$500,C44,Lines!$C$2:$C$500,D44,Lines!$A$2:$A$500,"line",Lines!$O$2:$O$500,"ALLOWANCE",Lines!$D$2:$D$500,"quote"))</f>
        <v/>
      </c>
      <c r="R44" s="9">
        <f>IF(C44="","",SUMIFS(Lines!$N$2:$N$500,Lines!$B$2:$B$500,C44,Lines!$C$2:$C$500,D44,Lines!$A$2:$A$500,"line",Lines!$O$2:$O$500,"ALLOWANCE",Lines!$D$2:$D$500,"invoice"))</f>
        <v/>
      </c>
      <c r="S44" s="9">
        <f>IF(C44="","",R44-Q44)</f>
        <v/>
      </c>
      <c r="T44" s="10">
        <f>IF(C44="","",IFERROR(S44/Q44,""))</f>
        <v/>
      </c>
      <c r="U44" s="2">
        <f>IF(C44="","",COUNTIFS(Docs!$D$2:$D$51,C44,Docs!$E$2:$E$51,D44,Docs!$F$2:$F$51,"invoice"))</f>
        <v/>
      </c>
      <c r="V44" s="2">
        <f>IF(C44="","",IF(U44=0,"N/A - pending",IF(MAX(ABS(G44),ABS(K44),ABS(O44),ABS(S44))&gt;Settings!$B$2,"Y","N")))</f>
        <v/>
      </c>
      <c r="W44" s="2">
        <f>IF(C44="","",TRIM(IFERROR("LABOUR_ALL: "&amp;INDEX(Notes!$D$3:$D$52,MATCH(C44&amp;"|"&amp;D44&amp;"|LABOUR_ALL",Notes!$E$3:$E$52,0))&amp;" ","")&amp;IFERROR("INSTALL: "&amp;INDEX(Notes!$D$3:$D$52,MATCH(C44&amp;"|"&amp;D44&amp;"|INSTALL",Notes!$E$3:$E$52,0))&amp;" ","")&amp;IFERROR("PRODUCT: "&amp;INDEX(Notes!$D$3:$D$52,MATCH(C44&amp;"|"&amp;D44&amp;"|PRODUCT",Notes!$E$3:$E$52,0))&amp;" ","")&amp;IFERROR("ALLOWANCE: "&amp;INDEX(Notes!$D$3:$D$52,MATCH(C44&amp;"|"&amp;D44&amp;"|ALLOWANCE",Notes!$E$3:$E$52,0))&amp;" ","")))</f>
        <v/>
      </c>
    </row>
    <row r="45">
      <c r="A45" s="2" t="n">
        <v>44</v>
      </c>
      <c r="B45" s="2">
        <f>IFERROR(MATCH(A45,Lines!$AG$2:$AG$500,0),"")</f>
        <v/>
      </c>
      <c r="C45" s="2">
        <f>IF(B45="","",INDEX(Lines!$B$2:$B$500,B45))</f>
        <v/>
      </c>
      <c r="D45" s="2">
        <f>IF(B45="","",INDEX(Lines!$C$2:$C$500,B45))</f>
        <v/>
      </c>
      <c r="E45" s="9">
        <f>IF(C45="","",SUMIFS(Lines!$N$2:$N$500,Lines!$B$2:$B$500,C45,Lines!$C$2:$C$500,D45,Lines!$A$2:$A$500,"line",Lines!$X$2:$X$500,"LABOUR_ALL",Lines!$D$2:$D$500,"quote"))</f>
        <v/>
      </c>
      <c r="F45" s="9">
        <f>IF(C45="","",SUMIFS(Lines!$N$2:$N$500,Lines!$B$2:$B$500,C45,Lines!$C$2:$C$500,D45,Lines!$A$2:$A$500,"line",Lines!$X$2:$X$500,"LABOUR_ALL",Lines!$D$2:$D$500,"invoice"))</f>
        <v/>
      </c>
      <c r="G45" s="9">
        <f>IF(C45="","",F45-E45)</f>
        <v/>
      </c>
      <c r="H45" s="10">
        <f>IF(C45="","",IFERROR(G45/E45,""))</f>
        <v/>
      </c>
      <c r="I45" s="9">
        <f>IF(C45="","",SUMIFS(Lines!$N$2:$N$500,Lines!$B$2:$B$500,C45,Lines!$C$2:$C$500,D45,Lines!$A$2:$A$500,"line",Lines!$O$2:$O$500,"INSTALL",Lines!$D$2:$D$500,"quote"))</f>
        <v/>
      </c>
      <c r="J45" s="9">
        <f>IF(C45="","",SUMIFS(Lines!$N$2:$N$500,Lines!$B$2:$B$500,C45,Lines!$C$2:$C$500,D45,Lines!$A$2:$A$500,"line",Lines!$O$2:$O$500,"INSTALL",Lines!$D$2:$D$500,"invoice"))</f>
        <v/>
      </c>
      <c r="K45" s="9">
        <f>IF(C45="","",J45-I45)</f>
        <v/>
      </c>
      <c r="L45" s="10">
        <f>IF(C45="","",IFERROR(K45/I45,""))</f>
        <v/>
      </c>
      <c r="M45" s="9">
        <f>IF(C45="","",SUMIFS(Lines!$N$2:$N$500,Lines!$B$2:$B$500,C45,Lines!$C$2:$C$500,D45,Lines!$A$2:$A$500,"line",Lines!$O$2:$O$500,"PRODUCT",Lines!$D$2:$D$500,"quote"))</f>
        <v/>
      </c>
      <c r="N45" s="9">
        <f>IF(C45="","",SUMIFS(Lines!$N$2:$N$500,Lines!$B$2:$B$500,C45,Lines!$C$2:$C$500,D45,Lines!$A$2:$A$500,"line",Lines!$O$2:$O$500,"PRODUCT",Lines!$D$2:$D$500,"invoice"))</f>
        <v/>
      </c>
      <c r="O45" s="9">
        <f>IF(C45="","",N45-M45)</f>
        <v/>
      </c>
      <c r="P45" s="10">
        <f>IF(C45="","",IFERROR(O45/M45,""))</f>
        <v/>
      </c>
      <c r="Q45" s="9">
        <f>IF(C45="","",SUMIFS(Lines!$N$2:$N$500,Lines!$B$2:$B$500,C45,Lines!$C$2:$C$500,D45,Lines!$A$2:$A$500,"line",Lines!$O$2:$O$500,"ALLOWANCE",Lines!$D$2:$D$500,"quote"))</f>
        <v/>
      </c>
      <c r="R45" s="9">
        <f>IF(C45="","",SUMIFS(Lines!$N$2:$N$500,Lines!$B$2:$B$500,C45,Lines!$C$2:$C$500,D45,Lines!$A$2:$A$500,"line",Lines!$O$2:$O$500,"ALLOWANCE",Lines!$D$2:$D$500,"invoice"))</f>
        <v/>
      </c>
      <c r="S45" s="9">
        <f>IF(C45="","",R45-Q45)</f>
        <v/>
      </c>
      <c r="T45" s="10">
        <f>IF(C45="","",IFERROR(S45/Q45,""))</f>
        <v/>
      </c>
      <c r="U45" s="2">
        <f>IF(C45="","",COUNTIFS(Docs!$D$2:$D$51,C45,Docs!$E$2:$E$51,D45,Docs!$F$2:$F$51,"invoice"))</f>
        <v/>
      </c>
      <c r="V45" s="2">
        <f>IF(C45="","",IF(U45=0,"N/A - pending",IF(MAX(ABS(G45),ABS(K45),ABS(O45),ABS(S45))&gt;Settings!$B$2,"Y","N")))</f>
        <v/>
      </c>
      <c r="W45" s="2">
        <f>IF(C45="","",TRIM(IFERROR("LABOUR_ALL: "&amp;INDEX(Notes!$D$3:$D$52,MATCH(C45&amp;"|"&amp;D45&amp;"|LABOUR_ALL",Notes!$E$3:$E$52,0))&amp;" ","")&amp;IFERROR("INSTALL: "&amp;INDEX(Notes!$D$3:$D$52,MATCH(C45&amp;"|"&amp;D45&amp;"|INSTALL",Notes!$E$3:$E$52,0))&amp;" ","")&amp;IFERROR("PRODUCT: "&amp;INDEX(Notes!$D$3:$D$52,MATCH(C45&amp;"|"&amp;D45&amp;"|PRODUCT",Notes!$E$3:$E$52,0))&amp;" ","")&amp;IFERROR("ALLOWANCE: "&amp;INDEX(Notes!$D$3:$D$52,MATCH(C45&amp;"|"&amp;D45&amp;"|ALLOWANCE",Notes!$E$3:$E$52,0))&amp;" ","")))</f>
        <v/>
      </c>
    </row>
    <row r="46">
      <c r="A46" s="2" t="n">
        <v>45</v>
      </c>
      <c r="B46" s="2">
        <f>IFERROR(MATCH(A46,Lines!$AG$2:$AG$500,0),"")</f>
        <v/>
      </c>
      <c r="C46" s="2">
        <f>IF(B46="","",INDEX(Lines!$B$2:$B$500,B46))</f>
        <v/>
      </c>
      <c r="D46" s="2">
        <f>IF(B46="","",INDEX(Lines!$C$2:$C$500,B46))</f>
        <v/>
      </c>
      <c r="E46" s="9">
        <f>IF(C46="","",SUMIFS(Lines!$N$2:$N$500,Lines!$B$2:$B$500,C46,Lines!$C$2:$C$500,D46,Lines!$A$2:$A$500,"line",Lines!$X$2:$X$500,"LABOUR_ALL",Lines!$D$2:$D$500,"quote"))</f>
        <v/>
      </c>
      <c r="F46" s="9">
        <f>IF(C46="","",SUMIFS(Lines!$N$2:$N$500,Lines!$B$2:$B$500,C46,Lines!$C$2:$C$500,D46,Lines!$A$2:$A$500,"line",Lines!$X$2:$X$500,"LABOUR_ALL",Lines!$D$2:$D$500,"invoice"))</f>
        <v/>
      </c>
      <c r="G46" s="9">
        <f>IF(C46="","",F46-E46)</f>
        <v/>
      </c>
      <c r="H46" s="10">
        <f>IF(C46="","",IFERROR(G46/E46,""))</f>
        <v/>
      </c>
      <c r="I46" s="9">
        <f>IF(C46="","",SUMIFS(Lines!$N$2:$N$500,Lines!$B$2:$B$500,C46,Lines!$C$2:$C$500,D46,Lines!$A$2:$A$500,"line",Lines!$O$2:$O$500,"INSTALL",Lines!$D$2:$D$500,"quote"))</f>
        <v/>
      </c>
      <c r="J46" s="9">
        <f>IF(C46="","",SUMIFS(Lines!$N$2:$N$500,Lines!$B$2:$B$500,C46,Lines!$C$2:$C$500,D46,Lines!$A$2:$A$500,"line",Lines!$O$2:$O$500,"INSTALL",Lines!$D$2:$D$500,"invoice"))</f>
        <v/>
      </c>
      <c r="K46" s="9">
        <f>IF(C46="","",J46-I46)</f>
        <v/>
      </c>
      <c r="L46" s="10">
        <f>IF(C46="","",IFERROR(K46/I46,""))</f>
        <v/>
      </c>
      <c r="M46" s="9">
        <f>IF(C46="","",SUMIFS(Lines!$N$2:$N$500,Lines!$B$2:$B$500,C46,Lines!$C$2:$C$500,D46,Lines!$A$2:$A$500,"line",Lines!$O$2:$O$500,"PRODUCT",Lines!$D$2:$D$500,"quote"))</f>
        <v/>
      </c>
      <c r="N46" s="9">
        <f>IF(C46="","",SUMIFS(Lines!$N$2:$N$500,Lines!$B$2:$B$500,C46,Lines!$C$2:$C$500,D46,Lines!$A$2:$A$500,"line",Lines!$O$2:$O$500,"PRODUCT",Lines!$D$2:$D$500,"invoice"))</f>
        <v/>
      </c>
      <c r="O46" s="9">
        <f>IF(C46="","",N46-M46)</f>
        <v/>
      </c>
      <c r="P46" s="10">
        <f>IF(C46="","",IFERROR(O46/M46,""))</f>
        <v/>
      </c>
      <c r="Q46" s="9">
        <f>IF(C46="","",SUMIFS(Lines!$N$2:$N$500,Lines!$B$2:$B$500,C46,Lines!$C$2:$C$500,D46,Lines!$A$2:$A$500,"line",Lines!$O$2:$O$500,"ALLOWANCE",Lines!$D$2:$D$500,"quote"))</f>
        <v/>
      </c>
      <c r="R46" s="9">
        <f>IF(C46="","",SUMIFS(Lines!$N$2:$N$500,Lines!$B$2:$B$500,C46,Lines!$C$2:$C$500,D46,Lines!$A$2:$A$500,"line",Lines!$O$2:$O$500,"ALLOWANCE",Lines!$D$2:$D$500,"invoice"))</f>
        <v/>
      </c>
      <c r="S46" s="9">
        <f>IF(C46="","",R46-Q46)</f>
        <v/>
      </c>
      <c r="T46" s="10">
        <f>IF(C46="","",IFERROR(S46/Q46,""))</f>
        <v/>
      </c>
      <c r="U46" s="2">
        <f>IF(C46="","",COUNTIFS(Docs!$D$2:$D$51,C46,Docs!$E$2:$E$51,D46,Docs!$F$2:$F$51,"invoice"))</f>
        <v/>
      </c>
      <c r="V46" s="2">
        <f>IF(C46="","",IF(U46=0,"N/A - pending",IF(MAX(ABS(G46),ABS(K46),ABS(O46),ABS(S46))&gt;Settings!$B$2,"Y","N")))</f>
        <v/>
      </c>
      <c r="W46" s="2">
        <f>IF(C46="","",TRIM(IFERROR("LABOUR_ALL: "&amp;INDEX(Notes!$D$3:$D$52,MATCH(C46&amp;"|"&amp;D46&amp;"|LABOUR_ALL",Notes!$E$3:$E$52,0))&amp;" ","")&amp;IFERROR("INSTALL: "&amp;INDEX(Notes!$D$3:$D$52,MATCH(C46&amp;"|"&amp;D46&amp;"|INSTALL",Notes!$E$3:$E$52,0))&amp;" ","")&amp;IFERROR("PRODUCT: "&amp;INDEX(Notes!$D$3:$D$52,MATCH(C46&amp;"|"&amp;D46&amp;"|PRODUCT",Notes!$E$3:$E$52,0))&amp;" ","")&amp;IFERROR("ALLOWANCE: "&amp;INDEX(Notes!$D$3:$D$52,MATCH(C46&amp;"|"&amp;D46&amp;"|ALLOWANCE",Notes!$E$3:$E$52,0))&amp;" ","")))</f>
        <v/>
      </c>
    </row>
    <row r="47">
      <c r="A47" s="2" t="n">
        <v>46</v>
      </c>
      <c r="B47" s="2">
        <f>IFERROR(MATCH(A47,Lines!$AG$2:$AG$500,0),"")</f>
        <v/>
      </c>
      <c r="C47" s="2">
        <f>IF(B47="","",INDEX(Lines!$B$2:$B$500,B47))</f>
        <v/>
      </c>
      <c r="D47" s="2">
        <f>IF(B47="","",INDEX(Lines!$C$2:$C$500,B47))</f>
        <v/>
      </c>
      <c r="E47" s="9">
        <f>IF(C47="","",SUMIFS(Lines!$N$2:$N$500,Lines!$B$2:$B$500,C47,Lines!$C$2:$C$500,D47,Lines!$A$2:$A$500,"line",Lines!$X$2:$X$500,"LABOUR_ALL",Lines!$D$2:$D$500,"quote"))</f>
        <v/>
      </c>
      <c r="F47" s="9">
        <f>IF(C47="","",SUMIFS(Lines!$N$2:$N$500,Lines!$B$2:$B$500,C47,Lines!$C$2:$C$500,D47,Lines!$A$2:$A$500,"line",Lines!$X$2:$X$500,"LABOUR_ALL",Lines!$D$2:$D$500,"invoice"))</f>
        <v/>
      </c>
      <c r="G47" s="9">
        <f>IF(C47="","",F47-E47)</f>
        <v/>
      </c>
      <c r="H47" s="10">
        <f>IF(C47="","",IFERROR(G47/E47,""))</f>
        <v/>
      </c>
      <c r="I47" s="9">
        <f>IF(C47="","",SUMIFS(Lines!$N$2:$N$500,Lines!$B$2:$B$500,C47,Lines!$C$2:$C$500,D47,Lines!$A$2:$A$500,"line",Lines!$O$2:$O$500,"INSTALL",Lines!$D$2:$D$500,"quote"))</f>
        <v/>
      </c>
      <c r="J47" s="9">
        <f>IF(C47="","",SUMIFS(Lines!$N$2:$N$500,Lines!$B$2:$B$500,C47,Lines!$C$2:$C$500,D47,Lines!$A$2:$A$500,"line",Lines!$O$2:$O$500,"INSTALL",Lines!$D$2:$D$500,"invoice"))</f>
        <v/>
      </c>
      <c r="K47" s="9">
        <f>IF(C47="","",J47-I47)</f>
        <v/>
      </c>
      <c r="L47" s="10">
        <f>IF(C47="","",IFERROR(K47/I47,""))</f>
        <v/>
      </c>
      <c r="M47" s="9">
        <f>IF(C47="","",SUMIFS(Lines!$N$2:$N$500,Lines!$B$2:$B$500,C47,Lines!$C$2:$C$500,D47,Lines!$A$2:$A$500,"line",Lines!$O$2:$O$500,"PRODUCT",Lines!$D$2:$D$500,"quote"))</f>
        <v/>
      </c>
      <c r="N47" s="9">
        <f>IF(C47="","",SUMIFS(Lines!$N$2:$N$500,Lines!$B$2:$B$500,C47,Lines!$C$2:$C$500,D47,Lines!$A$2:$A$500,"line",Lines!$O$2:$O$500,"PRODUCT",Lines!$D$2:$D$500,"invoice"))</f>
        <v/>
      </c>
      <c r="O47" s="9">
        <f>IF(C47="","",N47-M47)</f>
        <v/>
      </c>
      <c r="P47" s="10">
        <f>IF(C47="","",IFERROR(O47/M47,""))</f>
        <v/>
      </c>
      <c r="Q47" s="9">
        <f>IF(C47="","",SUMIFS(Lines!$N$2:$N$500,Lines!$B$2:$B$500,C47,Lines!$C$2:$C$500,D47,Lines!$A$2:$A$500,"line",Lines!$O$2:$O$500,"ALLOWANCE",Lines!$D$2:$D$500,"quote"))</f>
        <v/>
      </c>
      <c r="R47" s="9">
        <f>IF(C47="","",SUMIFS(Lines!$N$2:$N$500,Lines!$B$2:$B$500,C47,Lines!$C$2:$C$500,D47,Lines!$A$2:$A$500,"line",Lines!$O$2:$O$500,"ALLOWANCE",Lines!$D$2:$D$500,"invoice"))</f>
        <v/>
      </c>
      <c r="S47" s="9">
        <f>IF(C47="","",R47-Q47)</f>
        <v/>
      </c>
      <c r="T47" s="10">
        <f>IF(C47="","",IFERROR(S47/Q47,""))</f>
        <v/>
      </c>
      <c r="U47" s="2">
        <f>IF(C47="","",COUNTIFS(Docs!$D$2:$D$51,C47,Docs!$E$2:$E$51,D47,Docs!$F$2:$F$51,"invoice"))</f>
        <v/>
      </c>
      <c r="V47" s="2">
        <f>IF(C47="","",IF(U47=0,"N/A - pending",IF(MAX(ABS(G47),ABS(K47),ABS(O47),ABS(S47))&gt;Settings!$B$2,"Y","N")))</f>
        <v/>
      </c>
      <c r="W47" s="2">
        <f>IF(C47="","",TRIM(IFERROR("LABOUR_ALL: "&amp;INDEX(Notes!$D$3:$D$52,MATCH(C47&amp;"|"&amp;D47&amp;"|LABOUR_ALL",Notes!$E$3:$E$52,0))&amp;" ","")&amp;IFERROR("INSTALL: "&amp;INDEX(Notes!$D$3:$D$52,MATCH(C47&amp;"|"&amp;D47&amp;"|INSTALL",Notes!$E$3:$E$52,0))&amp;" ","")&amp;IFERROR("PRODUCT: "&amp;INDEX(Notes!$D$3:$D$52,MATCH(C47&amp;"|"&amp;D47&amp;"|PRODUCT",Notes!$E$3:$E$52,0))&amp;" ","")&amp;IFERROR("ALLOWANCE: "&amp;INDEX(Notes!$D$3:$D$52,MATCH(C47&amp;"|"&amp;D47&amp;"|ALLOWANCE",Notes!$E$3:$E$52,0))&amp;" ","")))</f>
        <v/>
      </c>
    </row>
    <row r="48">
      <c r="A48" s="2" t="n">
        <v>47</v>
      </c>
      <c r="B48" s="2">
        <f>IFERROR(MATCH(A48,Lines!$AG$2:$AG$500,0),"")</f>
        <v/>
      </c>
      <c r="C48" s="2">
        <f>IF(B48="","",INDEX(Lines!$B$2:$B$500,B48))</f>
        <v/>
      </c>
      <c r="D48" s="2">
        <f>IF(B48="","",INDEX(Lines!$C$2:$C$500,B48))</f>
        <v/>
      </c>
      <c r="E48" s="9">
        <f>IF(C48="","",SUMIFS(Lines!$N$2:$N$500,Lines!$B$2:$B$500,C48,Lines!$C$2:$C$500,D48,Lines!$A$2:$A$500,"line",Lines!$X$2:$X$500,"LABOUR_ALL",Lines!$D$2:$D$500,"quote"))</f>
        <v/>
      </c>
      <c r="F48" s="9">
        <f>IF(C48="","",SUMIFS(Lines!$N$2:$N$500,Lines!$B$2:$B$500,C48,Lines!$C$2:$C$500,D48,Lines!$A$2:$A$500,"line",Lines!$X$2:$X$500,"LABOUR_ALL",Lines!$D$2:$D$500,"invoice"))</f>
        <v/>
      </c>
      <c r="G48" s="9">
        <f>IF(C48="","",F48-E48)</f>
        <v/>
      </c>
      <c r="H48" s="10">
        <f>IF(C48="","",IFERROR(G48/E48,""))</f>
        <v/>
      </c>
      <c r="I48" s="9">
        <f>IF(C48="","",SUMIFS(Lines!$N$2:$N$500,Lines!$B$2:$B$500,C48,Lines!$C$2:$C$500,D48,Lines!$A$2:$A$500,"line",Lines!$O$2:$O$500,"INSTALL",Lines!$D$2:$D$500,"quote"))</f>
        <v/>
      </c>
      <c r="J48" s="9">
        <f>IF(C48="","",SUMIFS(Lines!$N$2:$N$500,Lines!$B$2:$B$500,C48,Lines!$C$2:$C$500,D48,Lines!$A$2:$A$500,"line",Lines!$O$2:$O$500,"INSTALL",Lines!$D$2:$D$500,"invoice"))</f>
        <v/>
      </c>
      <c r="K48" s="9">
        <f>IF(C48="","",J48-I48)</f>
        <v/>
      </c>
      <c r="L48" s="10">
        <f>IF(C48="","",IFERROR(K48/I48,""))</f>
        <v/>
      </c>
      <c r="M48" s="9">
        <f>IF(C48="","",SUMIFS(Lines!$N$2:$N$500,Lines!$B$2:$B$500,C48,Lines!$C$2:$C$500,D48,Lines!$A$2:$A$500,"line",Lines!$O$2:$O$500,"PRODUCT",Lines!$D$2:$D$500,"quote"))</f>
        <v/>
      </c>
      <c r="N48" s="9">
        <f>IF(C48="","",SUMIFS(Lines!$N$2:$N$500,Lines!$B$2:$B$500,C48,Lines!$C$2:$C$500,D48,Lines!$A$2:$A$500,"line",Lines!$O$2:$O$500,"PRODUCT",Lines!$D$2:$D$500,"invoice"))</f>
        <v/>
      </c>
      <c r="O48" s="9">
        <f>IF(C48="","",N48-M48)</f>
        <v/>
      </c>
      <c r="P48" s="10">
        <f>IF(C48="","",IFERROR(O48/M48,""))</f>
        <v/>
      </c>
      <c r="Q48" s="9">
        <f>IF(C48="","",SUMIFS(Lines!$N$2:$N$500,Lines!$B$2:$B$500,C48,Lines!$C$2:$C$500,D48,Lines!$A$2:$A$500,"line",Lines!$O$2:$O$500,"ALLOWANCE",Lines!$D$2:$D$500,"quote"))</f>
        <v/>
      </c>
      <c r="R48" s="9">
        <f>IF(C48="","",SUMIFS(Lines!$N$2:$N$500,Lines!$B$2:$B$500,C48,Lines!$C$2:$C$500,D48,Lines!$A$2:$A$500,"line",Lines!$O$2:$O$500,"ALLOWANCE",Lines!$D$2:$D$500,"invoice"))</f>
        <v/>
      </c>
      <c r="S48" s="9">
        <f>IF(C48="","",R48-Q48)</f>
        <v/>
      </c>
      <c r="T48" s="10">
        <f>IF(C48="","",IFERROR(S48/Q48,""))</f>
        <v/>
      </c>
      <c r="U48" s="2">
        <f>IF(C48="","",COUNTIFS(Docs!$D$2:$D$51,C48,Docs!$E$2:$E$51,D48,Docs!$F$2:$F$51,"invoice"))</f>
        <v/>
      </c>
      <c r="V48" s="2">
        <f>IF(C48="","",IF(U48=0,"N/A - pending",IF(MAX(ABS(G48),ABS(K48),ABS(O48),ABS(S48))&gt;Settings!$B$2,"Y","N")))</f>
        <v/>
      </c>
      <c r="W48" s="2">
        <f>IF(C48="","",TRIM(IFERROR("LABOUR_ALL: "&amp;INDEX(Notes!$D$3:$D$52,MATCH(C48&amp;"|"&amp;D48&amp;"|LABOUR_ALL",Notes!$E$3:$E$52,0))&amp;" ","")&amp;IFERROR("INSTALL: "&amp;INDEX(Notes!$D$3:$D$52,MATCH(C48&amp;"|"&amp;D48&amp;"|INSTALL",Notes!$E$3:$E$52,0))&amp;" ","")&amp;IFERROR("PRODUCT: "&amp;INDEX(Notes!$D$3:$D$52,MATCH(C48&amp;"|"&amp;D48&amp;"|PRODUCT",Notes!$E$3:$E$52,0))&amp;" ","")&amp;IFERROR("ALLOWANCE: "&amp;INDEX(Notes!$D$3:$D$52,MATCH(C48&amp;"|"&amp;D48&amp;"|ALLOWANCE",Notes!$E$3:$E$52,0))&amp;" ","")))</f>
        <v/>
      </c>
    </row>
    <row r="49">
      <c r="A49" s="2" t="n">
        <v>48</v>
      </c>
      <c r="B49" s="2">
        <f>IFERROR(MATCH(A49,Lines!$AG$2:$AG$500,0),"")</f>
        <v/>
      </c>
      <c r="C49" s="2">
        <f>IF(B49="","",INDEX(Lines!$B$2:$B$500,B49))</f>
        <v/>
      </c>
      <c r="D49" s="2">
        <f>IF(B49="","",INDEX(Lines!$C$2:$C$500,B49))</f>
        <v/>
      </c>
      <c r="E49" s="9">
        <f>IF(C49="","",SUMIFS(Lines!$N$2:$N$500,Lines!$B$2:$B$500,C49,Lines!$C$2:$C$500,D49,Lines!$A$2:$A$500,"line",Lines!$X$2:$X$500,"LABOUR_ALL",Lines!$D$2:$D$500,"quote"))</f>
        <v/>
      </c>
      <c r="F49" s="9">
        <f>IF(C49="","",SUMIFS(Lines!$N$2:$N$500,Lines!$B$2:$B$500,C49,Lines!$C$2:$C$500,D49,Lines!$A$2:$A$500,"line",Lines!$X$2:$X$500,"LABOUR_ALL",Lines!$D$2:$D$500,"invoice"))</f>
        <v/>
      </c>
      <c r="G49" s="9">
        <f>IF(C49="","",F49-E49)</f>
        <v/>
      </c>
      <c r="H49" s="10">
        <f>IF(C49="","",IFERROR(G49/E49,""))</f>
        <v/>
      </c>
      <c r="I49" s="9">
        <f>IF(C49="","",SUMIFS(Lines!$N$2:$N$500,Lines!$B$2:$B$500,C49,Lines!$C$2:$C$500,D49,Lines!$A$2:$A$500,"line",Lines!$O$2:$O$500,"INSTALL",Lines!$D$2:$D$500,"quote"))</f>
        <v/>
      </c>
      <c r="J49" s="9">
        <f>IF(C49="","",SUMIFS(Lines!$N$2:$N$500,Lines!$B$2:$B$500,C49,Lines!$C$2:$C$500,D49,Lines!$A$2:$A$500,"line",Lines!$O$2:$O$500,"INSTALL",Lines!$D$2:$D$500,"invoice"))</f>
        <v/>
      </c>
      <c r="K49" s="9">
        <f>IF(C49="","",J49-I49)</f>
        <v/>
      </c>
      <c r="L49" s="10">
        <f>IF(C49="","",IFERROR(K49/I49,""))</f>
        <v/>
      </c>
      <c r="M49" s="9">
        <f>IF(C49="","",SUMIFS(Lines!$N$2:$N$500,Lines!$B$2:$B$500,C49,Lines!$C$2:$C$500,D49,Lines!$A$2:$A$500,"line",Lines!$O$2:$O$500,"PRODUCT",Lines!$D$2:$D$500,"quote"))</f>
        <v/>
      </c>
      <c r="N49" s="9">
        <f>IF(C49="","",SUMIFS(Lines!$N$2:$N$500,Lines!$B$2:$B$500,C49,Lines!$C$2:$C$500,D49,Lines!$A$2:$A$500,"line",Lines!$O$2:$O$500,"PRODUCT",Lines!$D$2:$D$500,"invoice"))</f>
        <v/>
      </c>
      <c r="O49" s="9">
        <f>IF(C49="","",N49-M49)</f>
        <v/>
      </c>
      <c r="P49" s="10">
        <f>IF(C49="","",IFERROR(O49/M49,""))</f>
        <v/>
      </c>
      <c r="Q49" s="9">
        <f>IF(C49="","",SUMIFS(Lines!$N$2:$N$500,Lines!$B$2:$B$500,C49,Lines!$C$2:$C$500,D49,Lines!$A$2:$A$500,"line",Lines!$O$2:$O$500,"ALLOWANCE",Lines!$D$2:$D$500,"quote"))</f>
        <v/>
      </c>
      <c r="R49" s="9">
        <f>IF(C49="","",SUMIFS(Lines!$N$2:$N$500,Lines!$B$2:$B$500,C49,Lines!$C$2:$C$500,D49,Lines!$A$2:$A$500,"line",Lines!$O$2:$O$500,"ALLOWANCE",Lines!$D$2:$D$500,"invoice"))</f>
        <v/>
      </c>
      <c r="S49" s="9">
        <f>IF(C49="","",R49-Q49)</f>
        <v/>
      </c>
      <c r="T49" s="10">
        <f>IF(C49="","",IFERROR(S49/Q49,""))</f>
        <v/>
      </c>
      <c r="U49" s="2">
        <f>IF(C49="","",COUNTIFS(Docs!$D$2:$D$51,C49,Docs!$E$2:$E$51,D49,Docs!$F$2:$F$51,"invoice"))</f>
        <v/>
      </c>
      <c r="V49" s="2">
        <f>IF(C49="","",IF(U49=0,"N/A - pending",IF(MAX(ABS(G49),ABS(K49),ABS(O49),ABS(S49))&gt;Settings!$B$2,"Y","N")))</f>
        <v/>
      </c>
      <c r="W49" s="2">
        <f>IF(C49="","",TRIM(IFERROR("LABOUR_ALL: "&amp;INDEX(Notes!$D$3:$D$52,MATCH(C49&amp;"|"&amp;D49&amp;"|LABOUR_ALL",Notes!$E$3:$E$52,0))&amp;" ","")&amp;IFERROR("INSTALL: "&amp;INDEX(Notes!$D$3:$D$52,MATCH(C49&amp;"|"&amp;D49&amp;"|INSTALL",Notes!$E$3:$E$52,0))&amp;" ","")&amp;IFERROR("PRODUCT: "&amp;INDEX(Notes!$D$3:$D$52,MATCH(C49&amp;"|"&amp;D49&amp;"|PRODUCT",Notes!$E$3:$E$52,0))&amp;" ","")&amp;IFERROR("ALLOWANCE: "&amp;INDEX(Notes!$D$3:$D$52,MATCH(C49&amp;"|"&amp;D49&amp;"|ALLOWANCE",Notes!$E$3:$E$52,0))&amp;" ","")))</f>
        <v/>
      </c>
    </row>
    <row r="50">
      <c r="A50" s="2" t="n">
        <v>49</v>
      </c>
      <c r="B50" s="2">
        <f>IFERROR(MATCH(A50,Lines!$AG$2:$AG$500,0),"")</f>
        <v/>
      </c>
      <c r="C50" s="2">
        <f>IF(B50="","",INDEX(Lines!$B$2:$B$500,B50))</f>
        <v/>
      </c>
      <c r="D50" s="2">
        <f>IF(B50="","",INDEX(Lines!$C$2:$C$500,B50))</f>
        <v/>
      </c>
      <c r="E50" s="9">
        <f>IF(C50="","",SUMIFS(Lines!$N$2:$N$500,Lines!$B$2:$B$500,C50,Lines!$C$2:$C$500,D50,Lines!$A$2:$A$500,"line",Lines!$X$2:$X$500,"LABOUR_ALL",Lines!$D$2:$D$500,"quote"))</f>
        <v/>
      </c>
      <c r="F50" s="9">
        <f>IF(C50="","",SUMIFS(Lines!$N$2:$N$500,Lines!$B$2:$B$500,C50,Lines!$C$2:$C$500,D50,Lines!$A$2:$A$500,"line",Lines!$X$2:$X$500,"LABOUR_ALL",Lines!$D$2:$D$500,"invoice"))</f>
        <v/>
      </c>
      <c r="G50" s="9">
        <f>IF(C50="","",F50-E50)</f>
        <v/>
      </c>
      <c r="H50" s="10">
        <f>IF(C50="","",IFERROR(G50/E50,""))</f>
        <v/>
      </c>
      <c r="I50" s="9">
        <f>IF(C50="","",SUMIFS(Lines!$N$2:$N$500,Lines!$B$2:$B$500,C50,Lines!$C$2:$C$500,D50,Lines!$A$2:$A$500,"line",Lines!$O$2:$O$500,"INSTALL",Lines!$D$2:$D$500,"quote"))</f>
        <v/>
      </c>
      <c r="J50" s="9">
        <f>IF(C50="","",SUMIFS(Lines!$N$2:$N$500,Lines!$B$2:$B$500,C50,Lines!$C$2:$C$500,D50,Lines!$A$2:$A$500,"line",Lines!$O$2:$O$500,"INSTALL",Lines!$D$2:$D$500,"invoice"))</f>
        <v/>
      </c>
      <c r="K50" s="9">
        <f>IF(C50="","",J50-I50)</f>
        <v/>
      </c>
      <c r="L50" s="10">
        <f>IF(C50="","",IFERROR(K50/I50,""))</f>
        <v/>
      </c>
      <c r="M50" s="9">
        <f>IF(C50="","",SUMIFS(Lines!$N$2:$N$500,Lines!$B$2:$B$500,C50,Lines!$C$2:$C$500,D50,Lines!$A$2:$A$500,"line",Lines!$O$2:$O$500,"PRODUCT",Lines!$D$2:$D$500,"quote"))</f>
        <v/>
      </c>
      <c r="N50" s="9">
        <f>IF(C50="","",SUMIFS(Lines!$N$2:$N$500,Lines!$B$2:$B$500,C50,Lines!$C$2:$C$500,D50,Lines!$A$2:$A$500,"line",Lines!$O$2:$O$500,"PRODUCT",Lines!$D$2:$D$500,"invoice"))</f>
        <v/>
      </c>
      <c r="O50" s="9">
        <f>IF(C50="","",N50-M50)</f>
        <v/>
      </c>
      <c r="P50" s="10">
        <f>IF(C50="","",IFERROR(O50/M50,""))</f>
        <v/>
      </c>
      <c r="Q50" s="9">
        <f>IF(C50="","",SUMIFS(Lines!$N$2:$N$500,Lines!$B$2:$B$500,C50,Lines!$C$2:$C$500,D50,Lines!$A$2:$A$500,"line",Lines!$O$2:$O$500,"ALLOWANCE",Lines!$D$2:$D$500,"quote"))</f>
        <v/>
      </c>
      <c r="R50" s="9">
        <f>IF(C50="","",SUMIFS(Lines!$N$2:$N$500,Lines!$B$2:$B$500,C50,Lines!$C$2:$C$500,D50,Lines!$A$2:$A$500,"line",Lines!$O$2:$O$500,"ALLOWANCE",Lines!$D$2:$D$500,"invoice"))</f>
        <v/>
      </c>
      <c r="S50" s="9">
        <f>IF(C50="","",R50-Q50)</f>
        <v/>
      </c>
      <c r="T50" s="10">
        <f>IF(C50="","",IFERROR(S50/Q50,""))</f>
        <v/>
      </c>
      <c r="U50" s="2">
        <f>IF(C50="","",COUNTIFS(Docs!$D$2:$D$51,C50,Docs!$E$2:$E$51,D50,Docs!$F$2:$F$51,"invoice"))</f>
        <v/>
      </c>
      <c r="V50" s="2">
        <f>IF(C50="","",IF(U50=0,"N/A - pending",IF(MAX(ABS(G50),ABS(K50),ABS(O50),ABS(S50))&gt;Settings!$B$2,"Y","N")))</f>
        <v/>
      </c>
      <c r="W50" s="2">
        <f>IF(C50="","",TRIM(IFERROR("LABOUR_ALL: "&amp;INDEX(Notes!$D$3:$D$52,MATCH(C50&amp;"|"&amp;D50&amp;"|LABOUR_ALL",Notes!$E$3:$E$52,0))&amp;" ","")&amp;IFERROR("INSTALL: "&amp;INDEX(Notes!$D$3:$D$52,MATCH(C50&amp;"|"&amp;D50&amp;"|INSTALL",Notes!$E$3:$E$52,0))&amp;" ","")&amp;IFERROR("PRODUCT: "&amp;INDEX(Notes!$D$3:$D$52,MATCH(C50&amp;"|"&amp;D50&amp;"|PRODUCT",Notes!$E$3:$E$52,0))&amp;" ","")&amp;IFERROR("ALLOWANCE: "&amp;INDEX(Notes!$D$3:$D$52,MATCH(C50&amp;"|"&amp;D50&amp;"|ALLOWANCE",Notes!$E$3:$E$52,0))&amp;" ","")))</f>
        <v/>
      </c>
    </row>
    <row r="51">
      <c r="A51" s="2" t="n">
        <v>50</v>
      </c>
      <c r="B51" s="2">
        <f>IFERROR(MATCH(A51,Lines!$AG$2:$AG$500,0),"")</f>
        <v/>
      </c>
      <c r="C51" s="2">
        <f>IF(B51="","",INDEX(Lines!$B$2:$B$500,B51))</f>
        <v/>
      </c>
      <c r="D51" s="2">
        <f>IF(B51="","",INDEX(Lines!$C$2:$C$500,B51))</f>
        <v/>
      </c>
      <c r="E51" s="9">
        <f>IF(C51="","",SUMIFS(Lines!$N$2:$N$500,Lines!$B$2:$B$500,C51,Lines!$C$2:$C$500,D51,Lines!$A$2:$A$500,"line",Lines!$X$2:$X$500,"LABOUR_ALL",Lines!$D$2:$D$500,"quote"))</f>
        <v/>
      </c>
      <c r="F51" s="9">
        <f>IF(C51="","",SUMIFS(Lines!$N$2:$N$500,Lines!$B$2:$B$500,C51,Lines!$C$2:$C$500,D51,Lines!$A$2:$A$500,"line",Lines!$X$2:$X$500,"LABOUR_ALL",Lines!$D$2:$D$500,"invoice"))</f>
        <v/>
      </c>
      <c r="G51" s="9">
        <f>IF(C51="","",F51-E51)</f>
        <v/>
      </c>
      <c r="H51" s="10">
        <f>IF(C51="","",IFERROR(G51/E51,""))</f>
        <v/>
      </c>
      <c r="I51" s="9">
        <f>IF(C51="","",SUMIFS(Lines!$N$2:$N$500,Lines!$B$2:$B$500,C51,Lines!$C$2:$C$500,D51,Lines!$A$2:$A$500,"line",Lines!$O$2:$O$500,"INSTALL",Lines!$D$2:$D$500,"quote"))</f>
        <v/>
      </c>
      <c r="J51" s="9">
        <f>IF(C51="","",SUMIFS(Lines!$N$2:$N$500,Lines!$B$2:$B$500,C51,Lines!$C$2:$C$500,D51,Lines!$A$2:$A$500,"line",Lines!$O$2:$O$500,"INSTALL",Lines!$D$2:$D$500,"invoice"))</f>
        <v/>
      </c>
      <c r="K51" s="9">
        <f>IF(C51="","",J51-I51)</f>
        <v/>
      </c>
      <c r="L51" s="10">
        <f>IF(C51="","",IFERROR(K51/I51,""))</f>
        <v/>
      </c>
      <c r="M51" s="9">
        <f>IF(C51="","",SUMIFS(Lines!$N$2:$N$500,Lines!$B$2:$B$500,C51,Lines!$C$2:$C$500,D51,Lines!$A$2:$A$500,"line",Lines!$O$2:$O$500,"PRODUCT",Lines!$D$2:$D$500,"quote"))</f>
        <v/>
      </c>
      <c r="N51" s="9">
        <f>IF(C51="","",SUMIFS(Lines!$N$2:$N$500,Lines!$B$2:$B$500,C51,Lines!$C$2:$C$500,D51,Lines!$A$2:$A$500,"line",Lines!$O$2:$O$500,"PRODUCT",Lines!$D$2:$D$500,"invoice"))</f>
        <v/>
      </c>
      <c r="O51" s="9">
        <f>IF(C51="","",N51-M51)</f>
        <v/>
      </c>
      <c r="P51" s="10">
        <f>IF(C51="","",IFERROR(O51/M51,""))</f>
        <v/>
      </c>
      <c r="Q51" s="9">
        <f>IF(C51="","",SUMIFS(Lines!$N$2:$N$500,Lines!$B$2:$B$500,C51,Lines!$C$2:$C$500,D51,Lines!$A$2:$A$500,"line",Lines!$O$2:$O$500,"ALLOWANCE",Lines!$D$2:$D$500,"quote"))</f>
        <v/>
      </c>
      <c r="R51" s="9">
        <f>IF(C51="","",SUMIFS(Lines!$N$2:$N$500,Lines!$B$2:$B$500,C51,Lines!$C$2:$C$500,D51,Lines!$A$2:$A$500,"line",Lines!$O$2:$O$500,"ALLOWANCE",Lines!$D$2:$D$500,"invoice"))</f>
        <v/>
      </c>
      <c r="S51" s="9">
        <f>IF(C51="","",R51-Q51)</f>
        <v/>
      </c>
      <c r="T51" s="10">
        <f>IF(C51="","",IFERROR(S51/Q51,""))</f>
        <v/>
      </c>
      <c r="U51" s="2">
        <f>IF(C51="","",COUNTIFS(Docs!$D$2:$D$51,C51,Docs!$E$2:$E$51,D51,Docs!$F$2:$F$51,"invoice"))</f>
        <v/>
      </c>
      <c r="V51" s="2">
        <f>IF(C51="","",IF(U51=0,"N/A - pending",IF(MAX(ABS(G51),ABS(K51),ABS(O51),ABS(S51))&gt;Settings!$B$2,"Y","N")))</f>
        <v/>
      </c>
      <c r="W51" s="2">
        <f>IF(C51="","",TRIM(IFERROR("LABOUR_ALL: "&amp;INDEX(Notes!$D$3:$D$52,MATCH(C51&amp;"|"&amp;D51&amp;"|LABOUR_ALL",Notes!$E$3:$E$52,0))&amp;" ","")&amp;IFERROR("INSTALL: "&amp;INDEX(Notes!$D$3:$D$52,MATCH(C51&amp;"|"&amp;D51&amp;"|INSTALL",Notes!$E$3:$E$52,0))&amp;" ","")&amp;IFERROR("PRODUCT: "&amp;INDEX(Notes!$D$3:$D$52,MATCH(C51&amp;"|"&amp;D51&amp;"|PRODUCT",Notes!$E$3:$E$52,0))&amp;" ","")&amp;IFERROR("ALLOWANCE: "&amp;INDEX(Notes!$D$3:$D$52,MATCH(C51&amp;"|"&amp;D51&amp;"|ALLOWANCE",Notes!$E$3:$E$52,0))&amp;" ","")))</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5" customWidth="1" min="1" max="1"/>
    <col width="5" customWidth="1" min="2" max="2"/>
    <col width="14" customWidth="1" min="3" max="3"/>
    <col width="10" customWidth="1" min="4" max="4"/>
    <col width="9" customWidth="1" min="5" max="5"/>
    <col width="10" customWidth="1" min="6" max="6"/>
    <col width="12" customWidth="1" min="7" max="7"/>
    <col width="6" customWidth="1" min="8" max="8"/>
    <col width="7" customWidth="1" min="9" max="9"/>
    <col width="28" customWidth="1" min="10" max="10"/>
    <col width="40" customWidth="1" min="11" max="11"/>
    <col width="11" customWidth="1" min="12" max="12"/>
    <col width="13" customWidth="1" min="13" max="13"/>
    <col width="13" customWidth="1" min="14" max="14"/>
    <col width="12" customWidth="1" min="15" max="15"/>
    <col width="14" customWidth="1" min="16" max="16"/>
    <col width="60" customWidth="1" min="17" max="17"/>
  </cols>
  <sheetData>
    <row r="1">
      <c r="A1" s="5" t="inlineStr">
        <is>
          <t>seq</t>
        </is>
      </c>
      <c r="B1" s="5" t="inlineStr">
        <is>
          <t>row</t>
        </is>
      </c>
      <c r="C1" s="5" t="inlineStr">
        <is>
          <t>project</t>
        </is>
      </c>
      <c r="D1" s="5" t="inlineStr">
        <is>
          <t>vendor</t>
        </is>
      </c>
      <c r="E1" s="5" t="inlineStr">
        <is>
          <t>doc_type</t>
        </is>
      </c>
      <c r="F1" s="5" t="inlineStr">
        <is>
          <t>doc_id</t>
        </is>
      </c>
      <c r="G1" s="5" t="inlineStr">
        <is>
          <t>ref_quote_id</t>
        </is>
      </c>
      <c r="H1" s="5" t="inlineStr">
        <is>
          <t>page</t>
        </is>
      </c>
      <c r="I1" s="5" t="inlineStr">
        <is>
          <t>line_no</t>
        </is>
      </c>
      <c r="J1" s="5" t="inlineStr">
        <is>
          <t>label_as_printed</t>
        </is>
      </c>
      <c r="K1" s="5" t="inlineStr">
        <is>
          <t>description</t>
        </is>
      </c>
      <c r="L1" s="5" t="inlineStr">
        <is>
          <t>category</t>
        </is>
      </c>
      <c r="M1" s="5" t="inlineStr">
        <is>
          <t>quote_amount</t>
        </is>
      </c>
      <c r="N1" s="5" t="inlineStr">
        <is>
          <t>invoice_amount</t>
        </is>
      </c>
      <c r="O1" s="5" t="inlineStr">
        <is>
          <t>variance</t>
        </is>
      </c>
      <c r="P1" s="5" t="inlineStr">
        <is>
          <t>status</t>
        </is>
      </c>
      <c r="Q1" s="5" t="inlineStr">
        <is>
          <t>note</t>
        </is>
      </c>
    </row>
    <row r="2">
      <c r="A2" s="2" t="n">
        <v>1</v>
      </c>
      <c r="B2" s="2">
        <f>IFERROR(MATCH(A2,Lines!$AC$2:$AC$500,0),"")</f>
        <v/>
      </c>
      <c r="C2" s="2">
        <f>IF(B2="","",INDEX(Lines!$B$2:$B$500,B2)&amp;"")</f>
        <v/>
      </c>
      <c r="D2" s="2">
        <f>IF(B2="","",INDEX(Lines!$C$2:$C$500,B2)&amp;"")</f>
        <v/>
      </c>
      <c r="E2" s="2">
        <f>IF(B2="","",INDEX(Lines!$D$2:$D$500,B2)&amp;"")</f>
        <v/>
      </c>
      <c r="F2" s="2">
        <f>IF(B2="","",INDEX(Lines!$E$2:$E$500,B2)&amp;"")</f>
        <v/>
      </c>
      <c r="G2" s="2">
        <f>IF(B2="","",INDEX(Lines!$G$2:$G$500,B2)&amp;"")</f>
        <v/>
      </c>
      <c r="H2" s="2">
        <f>IF(B2="","",INDEX(Lines!$H$2:$H$500,B2))</f>
        <v/>
      </c>
      <c r="I2" s="2">
        <f>IF(B2="","",INDEX(Lines!$I$2:$I$500,B2))</f>
        <v/>
      </c>
      <c r="J2" s="2">
        <f>IF(B2="","",INDEX(Lines!$J$2:$J$500,B2)&amp;"")</f>
        <v/>
      </c>
      <c r="K2" s="2">
        <f>IF(B2="","",INDEX(Lines!$K$2:$K$500,B2)&amp;"")</f>
        <v/>
      </c>
      <c r="L2" s="2">
        <f>IF(B2="","",INDEX(Lines!$O$2:$O$500,B2)&amp;"")</f>
        <v/>
      </c>
      <c r="M2" s="9">
        <f>IF(B2="","",IF(E2="quote",INDEX(Lines!$N$2:$N$500,B2),""))</f>
        <v/>
      </c>
      <c r="N2" s="9">
        <f>IF(B2="","",IF(E2="quote",IF(INDEX(Lines!$Z$2:$Z$500,B2)=0,"",INDEX(Lines!$Y$2:$Y$500,B2)),INDEX(Lines!$N$2:$N$500,B2)))</f>
        <v/>
      </c>
      <c r="O2" s="9">
        <f>IF(B2="","",N(N2)-N(M2))</f>
        <v/>
      </c>
      <c r="P2" s="2">
        <f>IF(B2="","",INDEX(Lines!$AB$2:$AB$500,B2)&amp;"")</f>
        <v/>
      </c>
      <c r="Q2" s="2">
        <f>IF(B2="","",IFERROR(INDEX(Notes!$F$62:$F$111,MATCH(F2&amp;"|"&amp;I2,Notes!$G$62:$G$111,0)),""))</f>
        <v/>
      </c>
    </row>
    <row r="3">
      <c r="A3" s="2" t="n">
        <v>2</v>
      </c>
      <c r="B3" s="2">
        <f>IFERROR(MATCH(A3,Lines!$AC$2:$AC$500,0),"")</f>
        <v/>
      </c>
      <c r="C3" s="2">
        <f>IF(B3="","",INDEX(Lines!$B$2:$B$500,B3)&amp;"")</f>
        <v/>
      </c>
      <c r="D3" s="2">
        <f>IF(B3="","",INDEX(Lines!$C$2:$C$500,B3)&amp;"")</f>
        <v/>
      </c>
      <c r="E3" s="2">
        <f>IF(B3="","",INDEX(Lines!$D$2:$D$500,B3)&amp;"")</f>
        <v/>
      </c>
      <c r="F3" s="2">
        <f>IF(B3="","",INDEX(Lines!$E$2:$E$500,B3)&amp;"")</f>
        <v/>
      </c>
      <c r="G3" s="2">
        <f>IF(B3="","",INDEX(Lines!$G$2:$G$500,B3)&amp;"")</f>
        <v/>
      </c>
      <c r="H3" s="2">
        <f>IF(B3="","",INDEX(Lines!$H$2:$H$500,B3))</f>
        <v/>
      </c>
      <c r="I3" s="2">
        <f>IF(B3="","",INDEX(Lines!$I$2:$I$500,B3))</f>
        <v/>
      </c>
      <c r="J3" s="2">
        <f>IF(B3="","",INDEX(Lines!$J$2:$J$500,B3)&amp;"")</f>
        <v/>
      </c>
      <c r="K3" s="2">
        <f>IF(B3="","",INDEX(Lines!$K$2:$K$500,B3)&amp;"")</f>
        <v/>
      </c>
      <c r="L3" s="2">
        <f>IF(B3="","",INDEX(Lines!$O$2:$O$500,B3)&amp;"")</f>
        <v/>
      </c>
      <c r="M3" s="9">
        <f>IF(B3="","",IF(E3="quote",INDEX(Lines!$N$2:$N$500,B3),""))</f>
        <v/>
      </c>
      <c r="N3" s="9">
        <f>IF(B3="","",IF(E3="quote",IF(INDEX(Lines!$Z$2:$Z$500,B3)=0,"",INDEX(Lines!$Y$2:$Y$500,B3)),INDEX(Lines!$N$2:$N$500,B3)))</f>
        <v/>
      </c>
      <c r="O3" s="9">
        <f>IF(B3="","",N(N3)-N(M3))</f>
        <v/>
      </c>
      <c r="P3" s="2">
        <f>IF(B3="","",INDEX(Lines!$AB$2:$AB$500,B3)&amp;"")</f>
        <v/>
      </c>
      <c r="Q3" s="2">
        <f>IF(B3="","",IFERROR(INDEX(Notes!$F$62:$F$111,MATCH(F3&amp;"|"&amp;I3,Notes!$G$62:$G$111,0)),""))</f>
        <v/>
      </c>
    </row>
    <row r="4">
      <c r="A4" s="2" t="n">
        <v>3</v>
      </c>
      <c r="B4" s="2">
        <f>IFERROR(MATCH(A4,Lines!$AC$2:$AC$500,0),"")</f>
        <v/>
      </c>
      <c r="C4" s="2">
        <f>IF(B4="","",INDEX(Lines!$B$2:$B$500,B4)&amp;"")</f>
        <v/>
      </c>
      <c r="D4" s="2">
        <f>IF(B4="","",INDEX(Lines!$C$2:$C$500,B4)&amp;"")</f>
        <v/>
      </c>
      <c r="E4" s="2">
        <f>IF(B4="","",INDEX(Lines!$D$2:$D$500,B4)&amp;"")</f>
        <v/>
      </c>
      <c r="F4" s="2">
        <f>IF(B4="","",INDEX(Lines!$E$2:$E$500,B4)&amp;"")</f>
        <v/>
      </c>
      <c r="G4" s="2">
        <f>IF(B4="","",INDEX(Lines!$G$2:$G$500,B4)&amp;"")</f>
        <v/>
      </c>
      <c r="H4" s="2">
        <f>IF(B4="","",INDEX(Lines!$H$2:$H$500,B4))</f>
        <v/>
      </c>
      <c r="I4" s="2">
        <f>IF(B4="","",INDEX(Lines!$I$2:$I$500,B4))</f>
        <v/>
      </c>
      <c r="J4" s="2">
        <f>IF(B4="","",INDEX(Lines!$J$2:$J$500,B4)&amp;"")</f>
        <v/>
      </c>
      <c r="K4" s="2">
        <f>IF(B4="","",INDEX(Lines!$K$2:$K$500,B4)&amp;"")</f>
        <v/>
      </c>
      <c r="L4" s="2">
        <f>IF(B4="","",INDEX(Lines!$O$2:$O$500,B4)&amp;"")</f>
        <v/>
      </c>
      <c r="M4" s="9">
        <f>IF(B4="","",IF(E4="quote",INDEX(Lines!$N$2:$N$500,B4),""))</f>
        <v/>
      </c>
      <c r="N4" s="9">
        <f>IF(B4="","",IF(E4="quote",IF(INDEX(Lines!$Z$2:$Z$500,B4)=0,"",INDEX(Lines!$Y$2:$Y$500,B4)),INDEX(Lines!$N$2:$N$500,B4)))</f>
        <v/>
      </c>
      <c r="O4" s="9">
        <f>IF(B4="","",N(N4)-N(M4))</f>
        <v/>
      </c>
      <c r="P4" s="2">
        <f>IF(B4="","",INDEX(Lines!$AB$2:$AB$500,B4)&amp;"")</f>
        <v/>
      </c>
      <c r="Q4" s="2">
        <f>IF(B4="","",IFERROR(INDEX(Notes!$F$62:$F$111,MATCH(F4&amp;"|"&amp;I4,Notes!$G$62:$G$111,0)),""))</f>
        <v/>
      </c>
    </row>
    <row r="5">
      <c r="A5" s="2" t="n">
        <v>4</v>
      </c>
      <c r="B5" s="2">
        <f>IFERROR(MATCH(A5,Lines!$AC$2:$AC$500,0),"")</f>
        <v/>
      </c>
      <c r="C5" s="2">
        <f>IF(B5="","",INDEX(Lines!$B$2:$B$500,B5)&amp;"")</f>
        <v/>
      </c>
      <c r="D5" s="2">
        <f>IF(B5="","",INDEX(Lines!$C$2:$C$500,B5)&amp;"")</f>
        <v/>
      </c>
      <c r="E5" s="2">
        <f>IF(B5="","",INDEX(Lines!$D$2:$D$500,B5)&amp;"")</f>
        <v/>
      </c>
      <c r="F5" s="2">
        <f>IF(B5="","",INDEX(Lines!$E$2:$E$500,B5)&amp;"")</f>
        <v/>
      </c>
      <c r="G5" s="2">
        <f>IF(B5="","",INDEX(Lines!$G$2:$G$500,B5)&amp;"")</f>
        <v/>
      </c>
      <c r="H5" s="2">
        <f>IF(B5="","",INDEX(Lines!$H$2:$H$500,B5))</f>
        <v/>
      </c>
      <c r="I5" s="2">
        <f>IF(B5="","",INDEX(Lines!$I$2:$I$500,B5))</f>
        <v/>
      </c>
      <c r="J5" s="2">
        <f>IF(B5="","",INDEX(Lines!$J$2:$J$500,B5)&amp;"")</f>
        <v/>
      </c>
      <c r="K5" s="2">
        <f>IF(B5="","",INDEX(Lines!$K$2:$K$500,B5)&amp;"")</f>
        <v/>
      </c>
      <c r="L5" s="2">
        <f>IF(B5="","",INDEX(Lines!$O$2:$O$500,B5)&amp;"")</f>
        <v/>
      </c>
      <c r="M5" s="9">
        <f>IF(B5="","",IF(E5="quote",INDEX(Lines!$N$2:$N$500,B5),""))</f>
        <v/>
      </c>
      <c r="N5" s="9">
        <f>IF(B5="","",IF(E5="quote",IF(INDEX(Lines!$Z$2:$Z$500,B5)=0,"",INDEX(Lines!$Y$2:$Y$500,B5)),INDEX(Lines!$N$2:$N$500,B5)))</f>
        <v/>
      </c>
      <c r="O5" s="9">
        <f>IF(B5="","",N(N5)-N(M5))</f>
        <v/>
      </c>
      <c r="P5" s="2">
        <f>IF(B5="","",INDEX(Lines!$AB$2:$AB$500,B5)&amp;"")</f>
        <v/>
      </c>
      <c r="Q5" s="2">
        <f>IF(B5="","",IFERROR(INDEX(Notes!$F$62:$F$111,MATCH(F5&amp;"|"&amp;I5,Notes!$G$62:$G$111,0)),""))</f>
        <v/>
      </c>
    </row>
    <row r="6">
      <c r="A6" s="2" t="n">
        <v>5</v>
      </c>
      <c r="B6" s="2">
        <f>IFERROR(MATCH(A6,Lines!$AC$2:$AC$500,0),"")</f>
        <v/>
      </c>
      <c r="C6" s="2">
        <f>IF(B6="","",INDEX(Lines!$B$2:$B$500,B6)&amp;"")</f>
        <v/>
      </c>
      <c r="D6" s="2">
        <f>IF(B6="","",INDEX(Lines!$C$2:$C$500,B6)&amp;"")</f>
        <v/>
      </c>
      <c r="E6" s="2">
        <f>IF(B6="","",INDEX(Lines!$D$2:$D$500,B6)&amp;"")</f>
        <v/>
      </c>
      <c r="F6" s="2">
        <f>IF(B6="","",INDEX(Lines!$E$2:$E$500,B6)&amp;"")</f>
        <v/>
      </c>
      <c r="G6" s="2">
        <f>IF(B6="","",INDEX(Lines!$G$2:$G$500,B6)&amp;"")</f>
        <v/>
      </c>
      <c r="H6" s="2">
        <f>IF(B6="","",INDEX(Lines!$H$2:$H$500,B6))</f>
        <v/>
      </c>
      <c r="I6" s="2">
        <f>IF(B6="","",INDEX(Lines!$I$2:$I$500,B6))</f>
        <v/>
      </c>
      <c r="J6" s="2">
        <f>IF(B6="","",INDEX(Lines!$J$2:$J$500,B6)&amp;"")</f>
        <v/>
      </c>
      <c r="K6" s="2">
        <f>IF(B6="","",INDEX(Lines!$K$2:$K$500,B6)&amp;"")</f>
        <v/>
      </c>
      <c r="L6" s="2">
        <f>IF(B6="","",INDEX(Lines!$O$2:$O$500,B6)&amp;"")</f>
        <v/>
      </c>
      <c r="M6" s="9">
        <f>IF(B6="","",IF(E6="quote",INDEX(Lines!$N$2:$N$500,B6),""))</f>
        <v/>
      </c>
      <c r="N6" s="9">
        <f>IF(B6="","",IF(E6="quote",IF(INDEX(Lines!$Z$2:$Z$500,B6)=0,"",INDEX(Lines!$Y$2:$Y$500,B6)),INDEX(Lines!$N$2:$N$500,B6)))</f>
        <v/>
      </c>
      <c r="O6" s="9">
        <f>IF(B6="","",N(N6)-N(M6))</f>
        <v/>
      </c>
      <c r="P6" s="2">
        <f>IF(B6="","",INDEX(Lines!$AB$2:$AB$500,B6)&amp;"")</f>
        <v/>
      </c>
      <c r="Q6" s="2">
        <f>IF(B6="","",IFERROR(INDEX(Notes!$F$62:$F$111,MATCH(F6&amp;"|"&amp;I6,Notes!$G$62:$G$111,0)),""))</f>
        <v/>
      </c>
    </row>
    <row r="7">
      <c r="A7" s="2" t="n">
        <v>6</v>
      </c>
      <c r="B7" s="2">
        <f>IFERROR(MATCH(A7,Lines!$AC$2:$AC$500,0),"")</f>
        <v/>
      </c>
      <c r="C7" s="2">
        <f>IF(B7="","",INDEX(Lines!$B$2:$B$500,B7)&amp;"")</f>
        <v/>
      </c>
      <c r="D7" s="2">
        <f>IF(B7="","",INDEX(Lines!$C$2:$C$500,B7)&amp;"")</f>
        <v/>
      </c>
      <c r="E7" s="2">
        <f>IF(B7="","",INDEX(Lines!$D$2:$D$500,B7)&amp;"")</f>
        <v/>
      </c>
      <c r="F7" s="2">
        <f>IF(B7="","",INDEX(Lines!$E$2:$E$500,B7)&amp;"")</f>
        <v/>
      </c>
      <c r="G7" s="2">
        <f>IF(B7="","",INDEX(Lines!$G$2:$G$500,B7)&amp;"")</f>
        <v/>
      </c>
      <c r="H7" s="2">
        <f>IF(B7="","",INDEX(Lines!$H$2:$H$500,B7))</f>
        <v/>
      </c>
      <c r="I7" s="2">
        <f>IF(B7="","",INDEX(Lines!$I$2:$I$500,B7))</f>
        <v/>
      </c>
      <c r="J7" s="2">
        <f>IF(B7="","",INDEX(Lines!$J$2:$J$500,B7)&amp;"")</f>
        <v/>
      </c>
      <c r="K7" s="2">
        <f>IF(B7="","",INDEX(Lines!$K$2:$K$500,B7)&amp;"")</f>
        <v/>
      </c>
      <c r="L7" s="2">
        <f>IF(B7="","",INDEX(Lines!$O$2:$O$500,B7)&amp;"")</f>
        <v/>
      </c>
      <c r="M7" s="9">
        <f>IF(B7="","",IF(E7="quote",INDEX(Lines!$N$2:$N$500,B7),""))</f>
        <v/>
      </c>
      <c r="N7" s="9">
        <f>IF(B7="","",IF(E7="quote",IF(INDEX(Lines!$Z$2:$Z$500,B7)=0,"",INDEX(Lines!$Y$2:$Y$500,B7)),INDEX(Lines!$N$2:$N$500,B7)))</f>
        <v/>
      </c>
      <c r="O7" s="9">
        <f>IF(B7="","",N(N7)-N(M7))</f>
        <v/>
      </c>
      <c r="P7" s="2">
        <f>IF(B7="","",INDEX(Lines!$AB$2:$AB$500,B7)&amp;"")</f>
        <v/>
      </c>
      <c r="Q7" s="2">
        <f>IF(B7="","",IFERROR(INDEX(Notes!$F$62:$F$111,MATCH(F7&amp;"|"&amp;I7,Notes!$G$62:$G$111,0)),""))</f>
        <v/>
      </c>
    </row>
    <row r="8">
      <c r="A8" s="2" t="n">
        <v>7</v>
      </c>
      <c r="B8" s="2">
        <f>IFERROR(MATCH(A8,Lines!$AC$2:$AC$500,0),"")</f>
        <v/>
      </c>
      <c r="C8" s="2">
        <f>IF(B8="","",INDEX(Lines!$B$2:$B$500,B8)&amp;"")</f>
        <v/>
      </c>
      <c r="D8" s="2">
        <f>IF(B8="","",INDEX(Lines!$C$2:$C$500,B8)&amp;"")</f>
        <v/>
      </c>
      <c r="E8" s="2">
        <f>IF(B8="","",INDEX(Lines!$D$2:$D$500,B8)&amp;"")</f>
        <v/>
      </c>
      <c r="F8" s="2">
        <f>IF(B8="","",INDEX(Lines!$E$2:$E$500,B8)&amp;"")</f>
        <v/>
      </c>
      <c r="G8" s="2">
        <f>IF(B8="","",INDEX(Lines!$G$2:$G$500,B8)&amp;"")</f>
        <v/>
      </c>
      <c r="H8" s="2">
        <f>IF(B8="","",INDEX(Lines!$H$2:$H$500,B8))</f>
        <v/>
      </c>
      <c r="I8" s="2">
        <f>IF(B8="","",INDEX(Lines!$I$2:$I$500,B8))</f>
        <v/>
      </c>
      <c r="J8" s="2">
        <f>IF(B8="","",INDEX(Lines!$J$2:$J$500,B8)&amp;"")</f>
        <v/>
      </c>
      <c r="K8" s="2">
        <f>IF(B8="","",INDEX(Lines!$K$2:$K$500,B8)&amp;"")</f>
        <v/>
      </c>
      <c r="L8" s="2">
        <f>IF(B8="","",INDEX(Lines!$O$2:$O$500,B8)&amp;"")</f>
        <v/>
      </c>
      <c r="M8" s="9">
        <f>IF(B8="","",IF(E8="quote",INDEX(Lines!$N$2:$N$500,B8),""))</f>
        <v/>
      </c>
      <c r="N8" s="9">
        <f>IF(B8="","",IF(E8="quote",IF(INDEX(Lines!$Z$2:$Z$500,B8)=0,"",INDEX(Lines!$Y$2:$Y$500,B8)),INDEX(Lines!$N$2:$N$500,B8)))</f>
        <v/>
      </c>
      <c r="O8" s="9">
        <f>IF(B8="","",N(N8)-N(M8))</f>
        <v/>
      </c>
      <c r="P8" s="2">
        <f>IF(B8="","",INDEX(Lines!$AB$2:$AB$500,B8)&amp;"")</f>
        <v/>
      </c>
      <c r="Q8" s="2">
        <f>IF(B8="","",IFERROR(INDEX(Notes!$F$62:$F$111,MATCH(F8&amp;"|"&amp;I8,Notes!$G$62:$G$111,0)),""))</f>
        <v/>
      </c>
    </row>
    <row r="9">
      <c r="A9" s="2" t="n">
        <v>8</v>
      </c>
      <c r="B9" s="2">
        <f>IFERROR(MATCH(A9,Lines!$AC$2:$AC$500,0),"")</f>
        <v/>
      </c>
      <c r="C9" s="2">
        <f>IF(B9="","",INDEX(Lines!$B$2:$B$500,B9)&amp;"")</f>
        <v/>
      </c>
      <c r="D9" s="2">
        <f>IF(B9="","",INDEX(Lines!$C$2:$C$500,B9)&amp;"")</f>
        <v/>
      </c>
      <c r="E9" s="2">
        <f>IF(B9="","",INDEX(Lines!$D$2:$D$500,B9)&amp;"")</f>
        <v/>
      </c>
      <c r="F9" s="2">
        <f>IF(B9="","",INDEX(Lines!$E$2:$E$500,B9)&amp;"")</f>
        <v/>
      </c>
      <c r="G9" s="2">
        <f>IF(B9="","",INDEX(Lines!$G$2:$G$500,B9)&amp;"")</f>
        <v/>
      </c>
      <c r="H9" s="2">
        <f>IF(B9="","",INDEX(Lines!$H$2:$H$500,B9))</f>
        <v/>
      </c>
      <c r="I9" s="2">
        <f>IF(B9="","",INDEX(Lines!$I$2:$I$500,B9))</f>
        <v/>
      </c>
      <c r="J9" s="2">
        <f>IF(B9="","",INDEX(Lines!$J$2:$J$500,B9)&amp;"")</f>
        <v/>
      </c>
      <c r="K9" s="2">
        <f>IF(B9="","",INDEX(Lines!$K$2:$K$500,B9)&amp;"")</f>
        <v/>
      </c>
      <c r="L9" s="2">
        <f>IF(B9="","",INDEX(Lines!$O$2:$O$500,B9)&amp;"")</f>
        <v/>
      </c>
      <c r="M9" s="9">
        <f>IF(B9="","",IF(E9="quote",INDEX(Lines!$N$2:$N$500,B9),""))</f>
        <v/>
      </c>
      <c r="N9" s="9">
        <f>IF(B9="","",IF(E9="quote",IF(INDEX(Lines!$Z$2:$Z$500,B9)=0,"",INDEX(Lines!$Y$2:$Y$500,B9)),INDEX(Lines!$N$2:$N$500,B9)))</f>
        <v/>
      </c>
      <c r="O9" s="9">
        <f>IF(B9="","",N(N9)-N(M9))</f>
        <v/>
      </c>
      <c r="P9" s="2">
        <f>IF(B9="","",INDEX(Lines!$AB$2:$AB$500,B9)&amp;"")</f>
        <v/>
      </c>
      <c r="Q9" s="2">
        <f>IF(B9="","",IFERROR(INDEX(Notes!$F$62:$F$111,MATCH(F9&amp;"|"&amp;I9,Notes!$G$62:$G$111,0)),""))</f>
        <v/>
      </c>
    </row>
    <row r="10">
      <c r="A10" s="2" t="n">
        <v>9</v>
      </c>
      <c r="B10" s="2">
        <f>IFERROR(MATCH(A10,Lines!$AC$2:$AC$500,0),"")</f>
        <v/>
      </c>
      <c r="C10" s="2">
        <f>IF(B10="","",INDEX(Lines!$B$2:$B$500,B10)&amp;"")</f>
        <v/>
      </c>
      <c r="D10" s="2">
        <f>IF(B10="","",INDEX(Lines!$C$2:$C$500,B10)&amp;"")</f>
        <v/>
      </c>
      <c r="E10" s="2">
        <f>IF(B10="","",INDEX(Lines!$D$2:$D$500,B10)&amp;"")</f>
        <v/>
      </c>
      <c r="F10" s="2">
        <f>IF(B10="","",INDEX(Lines!$E$2:$E$500,B10)&amp;"")</f>
        <v/>
      </c>
      <c r="G10" s="2">
        <f>IF(B10="","",INDEX(Lines!$G$2:$G$500,B10)&amp;"")</f>
        <v/>
      </c>
      <c r="H10" s="2">
        <f>IF(B10="","",INDEX(Lines!$H$2:$H$500,B10))</f>
        <v/>
      </c>
      <c r="I10" s="2">
        <f>IF(B10="","",INDEX(Lines!$I$2:$I$500,B10))</f>
        <v/>
      </c>
      <c r="J10" s="2">
        <f>IF(B10="","",INDEX(Lines!$J$2:$J$500,B10)&amp;"")</f>
        <v/>
      </c>
      <c r="K10" s="2">
        <f>IF(B10="","",INDEX(Lines!$K$2:$K$500,B10)&amp;"")</f>
        <v/>
      </c>
      <c r="L10" s="2">
        <f>IF(B10="","",INDEX(Lines!$O$2:$O$500,B10)&amp;"")</f>
        <v/>
      </c>
      <c r="M10" s="9">
        <f>IF(B10="","",IF(E10="quote",INDEX(Lines!$N$2:$N$500,B10),""))</f>
        <v/>
      </c>
      <c r="N10" s="9">
        <f>IF(B10="","",IF(E10="quote",IF(INDEX(Lines!$Z$2:$Z$500,B10)=0,"",INDEX(Lines!$Y$2:$Y$500,B10)),INDEX(Lines!$N$2:$N$500,B10)))</f>
        <v/>
      </c>
      <c r="O10" s="9">
        <f>IF(B10="","",N(N10)-N(M10))</f>
        <v/>
      </c>
      <c r="P10" s="2">
        <f>IF(B10="","",INDEX(Lines!$AB$2:$AB$500,B10)&amp;"")</f>
        <v/>
      </c>
      <c r="Q10" s="2">
        <f>IF(B10="","",IFERROR(INDEX(Notes!$F$62:$F$111,MATCH(F10&amp;"|"&amp;I10,Notes!$G$62:$G$111,0)),""))</f>
        <v/>
      </c>
    </row>
    <row r="11">
      <c r="A11" s="2" t="n">
        <v>10</v>
      </c>
      <c r="B11" s="2">
        <f>IFERROR(MATCH(A11,Lines!$AC$2:$AC$500,0),"")</f>
        <v/>
      </c>
      <c r="C11" s="2">
        <f>IF(B11="","",INDEX(Lines!$B$2:$B$500,B11)&amp;"")</f>
        <v/>
      </c>
      <c r="D11" s="2">
        <f>IF(B11="","",INDEX(Lines!$C$2:$C$500,B11)&amp;"")</f>
        <v/>
      </c>
      <c r="E11" s="2">
        <f>IF(B11="","",INDEX(Lines!$D$2:$D$500,B11)&amp;"")</f>
        <v/>
      </c>
      <c r="F11" s="2">
        <f>IF(B11="","",INDEX(Lines!$E$2:$E$500,B11)&amp;"")</f>
        <v/>
      </c>
      <c r="G11" s="2">
        <f>IF(B11="","",INDEX(Lines!$G$2:$G$500,B11)&amp;"")</f>
        <v/>
      </c>
      <c r="H11" s="2">
        <f>IF(B11="","",INDEX(Lines!$H$2:$H$500,B11))</f>
        <v/>
      </c>
      <c r="I11" s="2">
        <f>IF(B11="","",INDEX(Lines!$I$2:$I$500,B11))</f>
        <v/>
      </c>
      <c r="J11" s="2">
        <f>IF(B11="","",INDEX(Lines!$J$2:$J$500,B11)&amp;"")</f>
        <v/>
      </c>
      <c r="K11" s="2">
        <f>IF(B11="","",INDEX(Lines!$K$2:$K$500,B11)&amp;"")</f>
        <v/>
      </c>
      <c r="L11" s="2">
        <f>IF(B11="","",INDEX(Lines!$O$2:$O$500,B11)&amp;"")</f>
        <v/>
      </c>
      <c r="M11" s="9">
        <f>IF(B11="","",IF(E11="quote",INDEX(Lines!$N$2:$N$500,B11),""))</f>
        <v/>
      </c>
      <c r="N11" s="9">
        <f>IF(B11="","",IF(E11="quote",IF(INDEX(Lines!$Z$2:$Z$500,B11)=0,"",INDEX(Lines!$Y$2:$Y$500,B11)),INDEX(Lines!$N$2:$N$500,B11)))</f>
        <v/>
      </c>
      <c r="O11" s="9">
        <f>IF(B11="","",N(N11)-N(M11))</f>
        <v/>
      </c>
      <c r="P11" s="2">
        <f>IF(B11="","",INDEX(Lines!$AB$2:$AB$500,B11)&amp;"")</f>
        <v/>
      </c>
      <c r="Q11" s="2">
        <f>IF(B11="","",IFERROR(INDEX(Notes!$F$62:$F$111,MATCH(F11&amp;"|"&amp;I11,Notes!$G$62:$G$111,0)),""))</f>
        <v/>
      </c>
    </row>
    <row r="12">
      <c r="A12" s="2" t="n">
        <v>11</v>
      </c>
      <c r="B12" s="2">
        <f>IFERROR(MATCH(A12,Lines!$AC$2:$AC$500,0),"")</f>
        <v/>
      </c>
      <c r="C12" s="2">
        <f>IF(B12="","",INDEX(Lines!$B$2:$B$500,B12)&amp;"")</f>
        <v/>
      </c>
      <c r="D12" s="2">
        <f>IF(B12="","",INDEX(Lines!$C$2:$C$500,B12)&amp;"")</f>
        <v/>
      </c>
      <c r="E12" s="2">
        <f>IF(B12="","",INDEX(Lines!$D$2:$D$500,B12)&amp;"")</f>
        <v/>
      </c>
      <c r="F12" s="2">
        <f>IF(B12="","",INDEX(Lines!$E$2:$E$500,B12)&amp;"")</f>
        <v/>
      </c>
      <c r="G12" s="2">
        <f>IF(B12="","",INDEX(Lines!$G$2:$G$500,B12)&amp;"")</f>
        <v/>
      </c>
      <c r="H12" s="2">
        <f>IF(B12="","",INDEX(Lines!$H$2:$H$500,B12))</f>
        <v/>
      </c>
      <c r="I12" s="2">
        <f>IF(B12="","",INDEX(Lines!$I$2:$I$500,B12))</f>
        <v/>
      </c>
      <c r="J12" s="2">
        <f>IF(B12="","",INDEX(Lines!$J$2:$J$500,B12)&amp;"")</f>
        <v/>
      </c>
      <c r="K12" s="2">
        <f>IF(B12="","",INDEX(Lines!$K$2:$K$500,B12)&amp;"")</f>
        <v/>
      </c>
      <c r="L12" s="2">
        <f>IF(B12="","",INDEX(Lines!$O$2:$O$500,B12)&amp;"")</f>
        <v/>
      </c>
      <c r="M12" s="9">
        <f>IF(B12="","",IF(E12="quote",INDEX(Lines!$N$2:$N$500,B12),""))</f>
        <v/>
      </c>
      <c r="N12" s="9">
        <f>IF(B12="","",IF(E12="quote",IF(INDEX(Lines!$Z$2:$Z$500,B12)=0,"",INDEX(Lines!$Y$2:$Y$500,B12)),INDEX(Lines!$N$2:$N$500,B12)))</f>
        <v/>
      </c>
      <c r="O12" s="9">
        <f>IF(B12="","",N(N12)-N(M12))</f>
        <v/>
      </c>
      <c r="P12" s="2">
        <f>IF(B12="","",INDEX(Lines!$AB$2:$AB$500,B12)&amp;"")</f>
        <v/>
      </c>
      <c r="Q12" s="2">
        <f>IF(B12="","",IFERROR(INDEX(Notes!$F$62:$F$111,MATCH(F12&amp;"|"&amp;I12,Notes!$G$62:$G$111,0)),""))</f>
        <v/>
      </c>
    </row>
    <row r="13">
      <c r="A13" s="2" t="n">
        <v>12</v>
      </c>
      <c r="B13" s="2">
        <f>IFERROR(MATCH(A13,Lines!$AC$2:$AC$500,0),"")</f>
        <v/>
      </c>
      <c r="C13" s="2">
        <f>IF(B13="","",INDEX(Lines!$B$2:$B$500,B13)&amp;"")</f>
        <v/>
      </c>
      <c r="D13" s="2">
        <f>IF(B13="","",INDEX(Lines!$C$2:$C$500,B13)&amp;"")</f>
        <v/>
      </c>
      <c r="E13" s="2">
        <f>IF(B13="","",INDEX(Lines!$D$2:$D$500,B13)&amp;"")</f>
        <v/>
      </c>
      <c r="F13" s="2">
        <f>IF(B13="","",INDEX(Lines!$E$2:$E$500,B13)&amp;"")</f>
        <v/>
      </c>
      <c r="G13" s="2">
        <f>IF(B13="","",INDEX(Lines!$G$2:$G$500,B13)&amp;"")</f>
        <v/>
      </c>
      <c r="H13" s="2">
        <f>IF(B13="","",INDEX(Lines!$H$2:$H$500,B13))</f>
        <v/>
      </c>
      <c r="I13" s="2">
        <f>IF(B13="","",INDEX(Lines!$I$2:$I$500,B13))</f>
        <v/>
      </c>
      <c r="J13" s="2">
        <f>IF(B13="","",INDEX(Lines!$J$2:$J$500,B13)&amp;"")</f>
        <v/>
      </c>
      <c r="K13" s="2">
        <f>IF(B13="","",INDEX(Lines!$K$2:$K$500,B13)&amp;"")</f>
        <v/>
      </c>
      <c r="L13" s="2">
        <f>IF(B13="","",INDEX(Lines!$O$2:$O$500,B13)&amp;"")</f>
        <v/>
      </c>
      <c r="M13" s="9">
        <f>IF(B13="","",IF(E13="quote",INDEX(Lines!$N$2:$N$500,B13),""))</f>
        <v/>
      </c>
      <c r="N13" s="9">
        <f>IF(B13="","",IF(E13="quote",IF(INDEX(Lines!$Z$2:$Z$500,B13)=0,"",INDEX(Lines!$Y$2:$Y$500,B13)),INDEX(Lines!$N$2:$N$500,B13)))</f>
        <v/>
      </c>
      <c r="O13" s="9">
        <f>IF(B13="","",N(N13)-N(M13))</f>
        <v/>
      </c>
      <c r="P13" s="2">
        <f>IF(B13="","",INDEX(Lines!$AB$2:$AB$500,B13)&amp;"")</f>
        <v/>
      </c>
      <c r="Q13" s="2">
        <f>IF(B13="","",IFERROR(INDEX(Notes!$F$62:$F$111,MATCH(F13&amp;"|"&amp;I13,Notes!$G$62:$G$111,0)),""))</f>
        <v/>
      </c>
    </row>
    <row r="14">
      <c r="A14" s="2" t="n">
        <v>13</v>
      </c>
      <c r="B14" s="2">
        <f>IFERROR(MATCH(A14,Lines!$AC$2:$AC$500,0),"")</f>
        <v/>
      </c>
      <c r="C14" s="2">
        <f>IF(B14="","",INDEX(Lines!$B$2:$B$500,B14)&amp;"")</f>
        <v/>
      </c>
      <c r="D14" s="2">
        <f>IF(B14="","",INDEX(Lines!$C$2:$C$500,B14)&amp;"")</f>
        <v/>
      </c>
      <c r="E14" s="2">
        <f>IF(B14="","",INDEX(Lines!$D$2:$D$500,B14)&amp;"")</f>
        <v/>
      </c>
      <c r="F14" s="2">
        <f>IF(B14="","",INDEX(Lines!$E$2:$E$500,B14)&amp;"")</f>
        <v/>
      </c>
      <c r="G14" s="2">
        <f>IF(B14="","",INDEX(Lines!$G$2:$G$500,B14)&amp;"")</f>
        <v/>
      </c>
      <c r="H14" s="2">
        <f>IF(B14="","",INDEX(Lines!$H$2:$H$500,B14))</f>
        <v/>
      </c>
      <c r="I14" s="2">
        <f>IF(B14="","",INDEX(Lines!$I$2:$I$500,B14))</f>
        <v/>
      </c>
      <c r="J14" s="2">
        <f>IF(B14="","",INDEX(Lines!$J$2:$J$500,B14)&amp;"")</f>
        <v/>
      </c>
      <c r="K14" s="2">
        <f>IF(B14="","",INDEX(Lines!$K$2:$K$500,B14)&amp;"")</f>
        <v/>
      </c>
      <c r="L14" s="2">
        <f>IF(B14="","",INDEX(Lines!$O$2:$O$500,B14)&amp;"")</f>
        <v/>
      </c>
      <c r="M14" s="9">
        <f>IF(B14="","",IF(E14="quote",INDEX(Lines!$N$2:$N$500,B14),""))</f>
        <v/>
      </c>
      <c r="N14" s="9">
        <f>IF(B14="","",IF(E14="quote",IF(INDEX(Lines!$Z$2:$Z$500,B14)=0,"",INDEX(Lines!$Y$2:$Y$500,B14)),INDEX(Lines!$N$2:$N$500,B14)))</f>
        <v/>
      </c>
      <c r="O14" s="9">
        <f>IF(B14="","",N(N14)-N(M14))</f>
        <v/>
      </c>
      <c r="P14" s="2">
        <f>IF(B14="","",INDEX(Lines!$AB$2:$AB$500,B14)&amp;"")</f>
        <v/>
      </c>
      <c r="Q14" s="2">
        <f>IF(B14="","",IFERROR(INDEX(Notes!$F$62:$F$111,MATCH(F14&amp;"|"&amp;I14,Notes!$G$62:$G$111,0)),""))</f>
        <v/>
      </c>
    </row>
    <row r="15">
      <c r="A15" s="2" t="n">
        <v>14</v>
      </c>
      <c r="B15" s="2">
        <f>IFERROR(MATCH(A15,Lines!$AC$2:$AC$500,0),"")</f>
        <v/>
      </c>
      <c r="C15" s="2">
        <f>IF(B15="","",INDEX(Lines!$B$2:$B$500,B15)&amp;"")</f>
        <v/>
      </c>
      <c r="D15" s="2">
        <f>IF(B15="","",INDEX(Lines!$C$2:$C$500,B15)&amp;"")</f>
        <v/>
      </c>
      <c r="E15" s="2">
        <f>IF(B15="","",INDEX(Lines!$D$2:$D$500,B15)&amp;"")</f>
        <v/>
      </c>
      <c r="F15" s="2">
        <f>IF(B15="","",INDEX(Lines!$E$2:$E$500,B15)&amp;"")</f>
        <v/>
      </c>
      <c r="G15" s="2">
        <f>IF(B15="","",INDEX(Lines!$G$2:$G$500,B15)&amp;"")</f>
        <v/>
      </c>
      <c r="H15" s="2">
        <f>IF(B15="","",INDEX(Lines!$H$2:$H$500,B15))</f>
        <v/>
      </c>
      <c r="I15" s="2">
        <f>IF(B15="","",INDEX(Lines!$I$2:$I$500,B15))</f>
        <v/>
      </c>
      <c r="J15" s="2">
        <f>IF(B15="","",INDEX(Lines!$J$2:$J$500,B15)&amp;"")</f>
        <v/>
      </c>
      <c r="K15" s="2">
        <f>IF(B15="","",INDEX(Lines!$K$2:$K$500,B15)&amp;"")</f>
        <v/>
      </c>
      <c r="L15" s="2">
        <f>IF(B15="","",INDEX(Lines!$O$2:$O$500,B15)&amp;"")</f>
        <v/>
      </c>
      <c r="M15" s="9">
        <f>IF(B15="","",IF(E15="quote",INDEX(Lines!$N$2:$N$500,B15),""))</f>
        <v/>
      </c>
      <c r="N15" s="9">
        <f>IF(B15="","",IF(E15="quote",IF(INDEX(Lines!$Z$2:$Z$500,B15)=0,"",INDEX(Lines!$Y$2:$Y$500,B15)),INDEX(Lines!$N$2:$N$500,B15)))</f>
        <v/>
      </c>
      <c r="O15" s="9">
        <f>IF(B15="","",N(N15)-N(M15))</f>
        <v/>
      </c>
      <c r="P15" s="2">
        <f>IF(B15="","",INDEX(Lines!$AB$2:$AB$500,B15)&amp;"")</f>
        <v/>
      </c>
      <c r="Q15" s="2">
        <f>IF(B15="","",IFERROR(INDEX(Notes!$F$62:$F$111,MATCH(F15&amp;"|"&amp;I15,Notes!$G$62:$G$111,0)),""))</f>
        <v/>
      </c>
    </row>
    <row r="16">
      <c r="A16" s="2" t="n">
        <v>15</v>
      </c>
      <c r="B16" s="2">
        <f>IFERROR(MATCH(A16,Lines!$AC$2:$AC$500,0),"")</f>
        <v/>
      </c>
      <c r="C16" s="2">
        <f>IF(B16="","",INDEX(Lines!$B$2:$B$500,B16)&amp;"")</f>
        <v/>
      </c>
      <c r="D16" s="2">
        <f>IF(B16="","",INDEX(Lines!$C$2:$C$500,B16)&amp;"")</f>
        <v/>
      </c>
      <c r="E16" s="2">
        <f>IF(B16="","",INDEX(Lines!$D$2:$D$500,B16)&amp;"")</f>
        <v/>
      </c>
      <c r="F16" s="2">
        <f>IF(B16="","",INDEX(Lines!$E$2:$E$500,B16)&amp;"")</f>
        <v/>
      </c>
      <c r="G16" s="2">
        <f>IF(B16="","",INDEX(Lines!$G$2:$G$500,B16)&amp;"")</f>
        <v/>
      </c>
      <c r="H16" s="2">
        <f>IF(B16="","",INDEX(Lines!$H$2:$H$500,B16))</f>
        <v/>
      </c>
      <c r="I16" s="2">
        <f>IF(B16="","",INDEX(Lines!$I$2:$I$500,B16))</f>
        <v/>
      </c>
      <c r="J16" s="2">
        <f>IF(B16="","",INDEX(Lines!$J$2:$J$500,B16)&amp;"")</f>
        <v/>
      </c>
      <c r="K16" s="2">
        <f>IF(B16="","",INDEX(Lines!$K$2:$K$500,B16)&amp;"")</f>
        <v/>
      </c>
      <c r="L16" s="2">
        <f>IF(B16="","",INDEX(Lines!$O$2:$O$500,B16)&amp;"")</f>
        <v/>
      </c>
      <c r="M16" s="9">
        <f>IF(B16="","",IF(E16="quote",INDEX(Lines!$N$2:$N$500,B16),""))</f>
        <v/>
      </c>
      <c r="N16" s="9">
        <f>IF(B16="","",IF(E16="quote",IF(INDEX(Lines!$Z$2:$Z$500,B16)=0,"",INDEX(Lines!$Y$2:$Y$500,B16)),INDEX(Lines!$N$2:$N$500,B16)))</f>
        <v/>
      </c>
      <c r="O16" s="9">
        <f>IF(B16="","",N(N16)-N(M16))</f>
        <v/>
      </c>
      <c r="P16" s="2">
        <f>IF(B16="","",INDEX(Lines!$AB$2:$AB$500,B16)&amp;"")</f>
        <v/>
      </c>
      <c r="Q16" s="2">
        <f>IF(B16="","",IFERROR(INDEX(Notes!$F$62:$F$111,MATCH(F16&amp;"|"&amp;I16,Notes!$G$62:$G$111,0)),""))</f>
        <v/>
      </c>
    </row>
    <row r="17">
      <c r="A17" s="2" t="n">
        <v>16</v>
      </c>
      <c r="B17" s="2">
        <f>IFERROR(MATCH(A17,Lines!$AC$2:$AC$500,0),"")</f>
        <v/>
      </c>
      <c r="C17" s="2">
        <f>IF(B17="","",INDEX(Lines!$B$2:$B$500,B17)&amp;"")</f>
        <v/>
      </c>
      <c r="D17" s="2">
        <f>IF(B17="","",INDEX(Lines!$C$2:$C$500,B17)&amp;"")</f>
        <v/>
      </c>
      <c r="E17" s="2">
        <f>IF(B17="","",INDEX(Lines!$D$2:$D$500,B17)&amp;"")</f>
        <v/>
      </c>
      <c r="F17" s="2">
        <f>IF(B17="","",INDEX(Lines!$E$2:$E$500,B17)&amp;"")</f>
        <v/>
      </c>
      <c r="G17" s="2">
        <f>IF(B17="","",INDEX(Lines!$G$2:$G$500,B17)&amp;"")</f>
        <v/>
      </c>
      <c r="H17" s="2">
        <f>IF(B17="","",INDEX(Lines!$H$2:$H$500,B17))</f>
        <v/>
      </c>
      <c r="I17" s="2">
        <f>IF(B17="","",INDEX(Lines!$I$2:$I$500,B17))</f>
        <v/>
      </c>
      <c r="J17" s="2">
        <f>IF(B17="","",INDEX(Lines!$J$2:$J$500,B17)&amp;"")</f>
        <v/>
      </c>
      <c r="K17" s="2">
        <f>IF(B17="","",INDEX(Lines!$K$2:$K$500,B17)&amp;"")</f>
        <v/>
      </c>
      <c r="L17" s="2">
        <f>IF(B17="","",INDEX(Lines!$O$2:$O$500,B17)&amp;"")</f>
        <v/>
      </c>
      <c r="M17" s="9">
        <f>IF(B17="","",IF(E17="quote",INDEX(Lines!$N$2:$N$500,B17),""))</f>
        <v/>
      </c>
      <c r="N17" s="9">
        <f>IF(B17="","",IF(E17="quote",IF(INDEX(Lines!$Z$2:$Z$500,B17)=0,"",INDEX(Lines!$Y$2:$Y$500,B17)),INDEX(Lines!$N$2:$N$500,B17)))</f>
        <v/>
      </c>
      <c r="O17" s="9">
        <f>IF(B17="","",N(N17)-N(M17))</f>
        <v/>
      </c>
      <c r="P17" s="2">
        <f>IF(B17="","",INDEX(Lines!$AB$2:$AB$500,B17)&amp;"")</f>
        <v/>
      </c>
      <c r="Q17" s="2">
        <f>IF(B17="","",IFERROR(INDEX(Notes!$F$62:$F$111,MATCH(F17&amp;"|"&amp;I17,Notes!$G$62:$G$111,0)),""))</f>
        <v/>
      </c>
    </row>
    <row r="18">
      <c r="A18" s="2" t="n">
        <v>17</v>
      </c>
      <c r="B18" s="2">
        <f>IFERROR(MATCH(A18,Lines!$AC$2:$AC$500,0),"")</f>
        <v/>
      </c>
      <c r="C18" s="2">
        <f>IF(B18="","",INDEX(Lines!$B$2:$B$500,B18)&amp;"")</f>
        <v/>
      </c>
      <c r="D18" s="2">
        <f>IF(B18="","",INDEX(Lines!$C$2:$C$500,B18)&amp;"")</f>
        <v/>
      </c>
      <c r="E18" s="2">
        <f>IF(B18="","",INDEX(Lines!$D$2:$D$500,B18)&amp;"")</f>
        <v/>
      </c>
      <c r="F18" s="2">
        <f>IF(B18="","",INDEX(Lines!$E$2:$E$500,B18)&amp;"")</f>
        <v/>
      </c>
      <c r="G18" s="2">
        <f>IF(B18="","",INDEX(Lines!$G$2:$G$500,B18)&amp;"")</f>
        <v/>
      </c>
      <c r="H18" s="2">
        <f>IF(B18="","",INDEX(Lines!$H$2:$H$500,B18))</f>
        <v/>
      </c>
      <c r="I18" s="2">
        <f>IF(B18="","",INDEX(Lines!$I$2:$I$500,B18))</f>
        <v/>
      </c>
      <c r="J18" s="2">
        <f>IF(B18="","",INDEX(Lines!$J$2:$J$500,B18)&amp;"")</f>
        <v/>
      </c>
      <c r="K18" s="2">
        <f>IF(B18="","",INDEX(Lines!$K$2:$K$500,B18)&amp;"")</f>
        <v/>
      </c>
      <c r="L18" s="2">
        <f>IF(B18="","",INDEX(Lines!$O$2:$O$500,B18)&amp;"")</f>
        <v/>
      </c>
      <c r="M18" s="9">
        <f>IF(B18="","",IF(E18="quote",INDEX(Lines!$N$2:$N$500,B18),""))</f>
        <v/>
      </c>
      <c r="N18" s="9">
        <f>IF(B18="","",IF(E18="quote",IF(INDEX(Lines!$Z$2:$Z$500,B18)=0,"",INDEX(Lines!$Y$2:$Y$500,B18)),INDEX(Lines!$N$2:$N$500,B18)))</f>
        <v/>
      </c>
      <c r="O18" s="9">
        <f>IF(B18="","",N(N18)-N(M18))</f>
        <v/>
      </c>
      <c r="P18" s="2">
        <f>IF(B18="","",INDEX(Lines!$AB$2:$AB$500,B18)&amp;"")</f>
        <v/>
      </c>
      <c r="Q18" s="2">
        <f>IF(B18="","",IFERROR(INDEX(Notes!$F$62:$F$111,MATCH(F18&amp;"|"&amp;I18,Notes!$G$62:$G$111,0)),""))</f>
        <v/>
      </c>
    </row>
    <row r="19">
      <c r="A19" s="2" t="n">
        <v>18</v>
      </c>
      <c r="B19" s="2">
        <f>IFERROR(MATCH(A19,Lines!$AC$2:$AC$500,0),"")</f>
        <v/>
      </c>
      <c r="C19" s="2">
        <f>IF(B19="","",INDEX(Lines!$B$2:$B$500,B19)&amp;"")</f>
        <v/>
      </c>
      <c r="D19" s="2">
        <f>IF(B19="","",INDEX(Lines!$C$2:$C$500,B19)&amp;"")</f>
        <v/>
      </c>
      <c r="E19" s="2">
        <f>IF(B19="","",INDEX(Lines!$D$2:$D$500,B19)&amp;"")</f>
        <v/>
      </c>
      <c r="F19" s="2">
        <f>IF(B19="","",INDEX(Lines!$E$2:$E$500,B19)&amp;"")</f>
        <v/>
      </c>
      <c r="G19" s="2">
        <f>IF(B19="","",INDEX(Lines!$G$2:$G$500,B19)&amp;"")</f>
        <v/>
      </c>
      <c r="H19" s="2">
        <f>IF(B19="","",INDEX(Lines!$H$2:$H$500,B19))</f>
        <v/>
      </c>
      <c r="I19" s="2">
        <f>IF(B19="","",INDEX(Lines!$I$2:$I$500,B19))</f>
        <v/>
      </c>
      <c r="J19" s="2">
        <f>IF(B19="","",INDEX(Lines!$J$2:$J$500,B19)&amp;"")</f>
        <v/>
      </c>
      <c r="K19" s="2">
        <f>IF(B19="","",INDEX(Lines!$K$2:$K$500,B19)&amp;"")</f>
        <v/>
      </c>
      <c r="L19" s="2">
        <f>IF(B19="","",INDEX(Lines!$O$2:$O$500,B19)&amp;"")</f>
        <v/>
      </c>
      <c r="M19" s="9">
        <f>IF(B19="","",IF(E19="quote",INDEX(Lines!$N$2:$N$500,B19),""))</f>
        <v/>
      </c>
      <c r="N19" s="9">
        <f>IF(B19="","",IF(E19="quote",IF(INDEX(Lines!$Z$2:$Z$500,B19)=0,"",INDEX(Lines!$Y$2:$Y$500,B19)),INDEX(Lines!$N$2:$N$500,B19)))</f>
        <v/>
      </c>
      <c r="O19" s="9">
        <f>IF(B19="","",N(N19)-N(M19))</f>
        <v/>
      </c>
      <c r="P19" s="2">
        <f>IF(B19="","",INDEX(Lines!$AB$2:$AB$500,B19)&amp;"")</f>
        <v/>
      </c>
      <c r="Q19" s="2">
        <f>IF(B19="","",IFERROR(INDEX(Notes!$F$62:$F$111,MATCH(F19&amp;"|"&amp;I19,Notes!$G$62:$G$111,0)),""))</f>
        <v/>
      </c>
    </row>
    <row r="20">
      <c r="A20" s="2" t="n">
        <v>19</v>
      </c>
      <c r="B20" s="2">
        <f>IFERROR(MATCH(A20,Lines!$AC$2:$AC$500,0),"")</f>
        <v/>
      </c>
      <c r="C20" s="2">
        <f>IF(B20="","",INDEX(Lines!$B$2:$B$500,B20)&amp;"")</f>
        <v/>
      </c>
      <c r="D20" s="2">
        <f>IF(B20="","",INDEX(Lines!$C$2:$C$500,B20)&amp;"")</f>
        <v/>
      </c>
      <c r="E20" s="2">
        <f>IF(B20="","",INDEX(Lines!$D$2:$D$500,B20)&amp;"")</f>
        <v/>
      </c>
      <c r="F20" s="2">
        <f>IF(B20="","",INDEX(Lines!$E$2:$E$500,B20)&amp;"")</f>
        <v/>
      </c>
      <c r="G20" s="2">
        <f>IF(B20="","",INDEX(Lines!$G$2:$G$500,B20)&amp;"")</f>
        <v/>
      </c>
      <c r="H20" s="2">
        <f>IF(B20="","",INDEX(Lines!$H$2:$H$500,B20))</f>
        <v/>
      </c>
      <c r="I20" s="2">
        <f>IF(B20="","",INDEX(Lines!$I$2:$I$500,B20))</f>
        <v/>
      </c>
      <c r="J20" s="2">
        <f>IF(B20="","",INDEX(Lines!$J$2:$J$500,B20)&amp;"")</f>
        <v/>
      </c>
      <c r="K20" s="2">
        <f>IF(B20="","",INDEX(Lines!$K$2:$K$500,B20)&amp;"")</f>
        <v/>
      </c>
      <c r="L20" s="2">
        <f>IF(B20="","",INDEX(Lines!$O$2:$O$500,B20)&amp;"")</f>
        <v/>
      </c>
      <c r="M20" s="9">
        <f>IF(B20="","",IF(E20="quote",INDEX(Lines!$N$2:$N$500,B20),""))</f>
        <v/>
      </c>
      <c r="N20" s="9">
        <f>IF(B20="","",IF(E20="quote",IF(INDEX(Lines!$Z$2:$Z$500,B20)=0,"",INDEX(Lines!$Y$2:$Y$500,B20)),INDEX(Lines!$N$2:$N$500,B20)))</f>
        <v/>
      </c>
      <c r="O20" s="9">
        <f>IF(B20="","",N(N20)-N(M20))</f>
        <v/>
      </c>
      <c r="P20" s="2">
        <f>IF(B20="","",INDEX(Lines!$AB$2:$AB$500,B20)&amp;"")</f>
        <v/>
      </c>
      <c r="Q20" s="2">
        <f>IF(B20="","",IFERROR(INDEX(Notes!$F$62:$F$111,MATCH(F20&amp;"|"&amp;I20,Notes!$G$62:$G$111,0)),""))</f>
        <v/>
      </c>
    </row>
    <row r="21">
      <c r="A21" s="2" t="n">
        <v>20</v>
      </c>
      <c r="B21" s="2">
        <f>IFERROR(MATCH(A21,Lines!$AC$2:$AC$500,0),"")</f>
        <v/>
      </c>
      <c r="C21" s="2">
        <f>IF(B21="","",INDEX(Lines!$B$2:$B$500,B21)&amp;"")</f>
        <v/>
      </c>
      <c r="D21" s="2">
        <f>IF(B21="","",INDEX(Lines!$C$2:$C$500,B21)&amp;"")</f>
        <v/>
      </c>
      <c r="E21" s="2">
        <f>IF(B21="","",INDEX(Lines!$D$2:$D$500,B21)&amp;"")</f>
        <v/>
      </c>
      <c r="F21" s="2">
        <f>IF(B21="","",INDEX(Lines!$E$2:$E$500,B21)&amp;"")</f>
        <v/>
      </c>
      <c r="G21" s="2">
        <f>IF(B21="","",INDEX(Lines!$G$2:$G$500,B21)&amp;"")</f>
        <v/>
      </c>
      <c r="H21" s="2">
        <f>IF(B21="","",INDEX(Lines!$H$2:$H$500,B21))</f>
        <v/>
      </c>
      <c r="I21" s="2">
        <f>IF(B21="","",INDEX(Lines!$I$2:$I$500,B21))</f>
        <v/>
      </c>
      <c r="J21" s="2">
        <f>IF(B21="","",INDEX(Lines!$J$2:$J$500,B21)&amp;"")</f>
        <v/>
      </c>
      <c r="K21" s="2">
        <f>IF(B21="","",INDEX(Lines!$K$2:$K$500,B21)&amp;"")</f>
        <v/>
      </c>
      <c r="L21" s="2">
        <f>IF(B21="","",INDEX(Lines!$O$2:$O$500,B21)&amp;"")</f>
        <v/>
      </c>
      <c r="M21" s="9">
        <f>IF(B21="","",IF(E21="quote",INDEX(Lines!$N$2:$N$500,B21),""))</f>
        <v/>
      </c>
      <c r="N21" s="9">
        <f>IF(B21="","",IF(E21="quote",IF(INDEX(Lines!$Z$2:$Z$500,B21)=0,"",INDEX(Lines!$Y$2:$Y$500,B21)),INDEX(Lines!$N$2:$N$500,B21)))</f>
        <v/>
      </c>
      <c r="O21" s="9">
        <f>IF(B21="","",N(N21)-N(M21))</f>
        <v/>
      </c>
      <c r="P21" s="2">
        <f>IF(B21="","",INDEX(Lines!$AB$2:$AB$500,B21)&amp;"")</f>
        <v/>
      </c>
      <c r="Q21" s="2">
        <f>IF(B21="","",IFERROR(INDEX(Notes!$F$62:$F$111,MATCH(F21&amp;"|"&amp;I21,Notes!$G$62:$G$111,0)),""))</f>
        <v/>
      </c>
    </row>
    <row r="22">
      <c r="A22" s="2" t="n">
        <v>21</v>
      </c>
      <c r="B22" s="2">
        <f>IFERROR(MATCH(A22,Lines!$AC$2:$AC$500,0),"")</f>
        <v/>
      </c>
      <c r="C22" s="2">
        <f>IF(B22="","",INDEX(Lines!$B$2:$B$500,B22)&amp;"")</f>
        <v/>
      </c>
      <c r="D22" s="2">
        <f>IF(B22="","",INDEX(Lines!$C$2:$C$500,B22)&amp;"")</f>
        <v/>
      </c>
      <c r="E22" s="2">
        <f>IF(B22="","",INDEX(Lines!$D$2:$D$500,B22)&amp;"")</f>
        <v/>
      </c>
      <c r="F22" s="2">
        <f>IF(B22="","",INDEX(Lines!$E$2:$E$500,B22)&amp;"")</f>
        <v/>
      </c>
      <c r="G22" s="2">
        <f>IF(B22="","",INDEX(Lines!$G$2:$G$500,B22)&amp;"")</f>
        <v/>
      </c>
      <c r="H22" s="2">
        <f>IF(B22="","",INDEX(Lines!$H$2:$H$500,B22))</f>
        <v/>
      </c>
      <c r="I22" s="2">
        <f>IF(B22="","",INDEX(Lines!$I$2:$I$500,B22))</f>
        <v/>
      </c>
      <c r="J22" s="2">
        <f>IF(B22="","",INDEX(Lines!$J$2:$J$500,B22)&amp;"")</f>
        <v/>
      </c>
      <c r="K22" s="2">
        <f>IF(B22="","",INDEX(Lines!$K$2:$K$500,B22)&amp;"")</f>
        <v/>
      </c>
      <c r="L22" s="2">
        <f>IF(B22="","",INDEX(Lines!$O$2:$O$500,B22)&amp;"")</f>
        <v/>
      </c>
      <c r="M22" s="9">
        <f>IF(B22="","",IF(E22="quote",INDEX(Lines!$N$2:$N$500,B22),""))</f>
        <v/>
      </c>
      <c r="N22" s="9">
        <f>IF(B22="","",IF(E22="quote",IF(INDEX(Lines!$Z$2:$Z$500,B22)=0,"",INDEX(Lines!$Y$2:$Y$500,B22)),INDEX(Lines!$N$2:$N$500,B22)))</f>
        <v/>
      </c>
      <c r="O22" s="9">
        <f>IF(B22="","",N(N22)-N(M22))</f>
        <v/>
      </c>
      <c r="P22" s="2">
        <f>IF(B22="","",INDEX(Lines!$AB$2:$AB$500,B22)&amp;"")</f>
        <v/>
      </c>
      <c r="Q22" s="2">
        <f>IF(B22="","",IFERROR(INDEX(Notes!$F$62:$F$111,MATCH(F22&amp;"|"&amp;I22,Notes!$G$62:$G$111,0)),""))</f>
        <v/>
      </c>
    </row>
    <row r="23">
      <c r="A23" s="2" t="n">
        <v>22</v>
      </c>
      <c r="B23" s="2">
        <f>IFERROR(MATCH(A23,Lines!$AC$2:$AC$500,0),"")</f>
        <v/>
      </c>
      <c r="C23" s="2">
        <f>IF(B23="","",INDEX(Lines!$B$2:$B$500,B23)&amp;"")</f>
        <v/>
      </c>
      <c r="D23" s="2">
        <f>IF(B23="","",INDEX(Lines!$C$2:$C$500,B23)&amp;"")</f>
        <v/>
      </c>
      <c r="E23" s="2">
        <f>IF(B23="","",INDEX(Lines!$D$2:$D$500,B23)&amp;"")</f>
        <v/>
      </c>
      <c r="F23" s="2">
        <f>IF(B23="","",INDEX(Lines!$E$2:$E$500,B23)&amp;"")</f>
        <v/>
      </c>
      <c r="G23" s="2">
        <f>IF(B23="","",INDEX(Lines!$G$2:$G$500,B23)&amp;"")</f>
        <v/>
      </c>
      <c r="H23" s="2">
        <f>IF(B23="","",INDEX(Lines!$H$2:$H$500,B23))</f>
        <v/>
      </c>
      <c r="I23" s="2">
        <f>IF(B23="","",INDEX(Lines!$I$2:$I$500,B23))</f>
        <v/>
      </c>
      <c r="J23" s="2">
        <f>IF(B23="","",INDEX(Lines!$J$2:$J$500,B23)&amp;"")</f>
        <v/>
      </c>
      <c r="K23" s="2">
        <f>IF(B23="","",INDEX(Lines!$K$2:$K$500,B23)&amp;"")</f>
        <v/>
      </c>
      <c r="L23" s="2">
        <f>IF(B23="","",INDEX(Lines!$O$2:$O$500,B23)&amp;"")</f>
        <v/>
      </c>
      <c r="M23" s="9">
        <f>IF(B23="","",IF(E23="quote",INDEX(Lines!$N$2:$N$500,B23),""))</f>
        <v/>
      </c>
      <c r="N23" s="9">
        <f>IF(B23="","",IF(E23="quote",IF(INDEX(Lines!$Z$2:$Z$500,B23)=0,"",INDEX(Lines!$Y$2:$Y$500,B23)),INDEX(Lines!$N$2:$N$500,B23)))</f>
        <v/>
      </c>
      <c r="O23" s="9">
        <f>IF(B23="","",N(N23)-N(M23))</f>
        <v/>
      </c>
      <c r="P23" s="2">
        <f>IF(B23="","",INDEX(Lines!$AB$2:$AB$500,B23)&amp;"")</f>
        <v/>
      </c>
      <c r="Q23" s="2">
        <f>IF(B23="","",IFERROR(INDEX(Notes!$F$62:$F$111,MATCH(F23&amp;"|"&amp;I23,Notes!$G$62:$G$111,0)),""))</f>
        <v/>
      </c>
    </row>
    <row r="24">
      <c r="A24" s="2" t="n">
        <v>23</v>
      </c>
      <c r="B24" s="2">
        <f>IFERROR(MATCH(A24,Lines!$AC$2:$AC$500,0),"")</f>
        <v/>
      </c>
      <c r="C24" s="2">
        <f>IF(B24="","",INDEX(Lines!$B$2:$B$500,B24)&amp;"")</f>
        <v/>
      </c>
      <c r="D24" s="2">
        <f>IF(B24="","",INDEX(Lines!$C$2:$C$500,B24)&amp;"")</f>
        <v/>
      </c>
      <c r="E24" s="2">
        <f>IF(B24="","",INDEX(Lines!$D$2:$D$500,B24)&amp;"")</f>
        <v/>
      </c>
      <c r="F24" s="2">
        <f>IF(B24="","",INDEX(Lines!$E$2:$E$500,B24)&amp;"")</f>
        <v/>
      </c>
      <c r="G24" s="2">
        <f>IF(B24="","",INDEX(Lines!$G$2:$G$500,B24)&amp;"")</f>
        <v/>
      </c>
      <c r="H24" s="2">
        <f>IF(B24="","",INDEX(Lines!$H$2:$H$500,B24))</f>
        <v/>
      </c>
      <c r="I24" s="2">
        <f>IF(B24="","",INDEX(Lines!$I$2:$I$500,B24))</f>
        <v/>
      </c>
      <c r="J24" s="2">
        <f>IF(B24="","",INDEX(Lines!$J$2:$J$500,B24)&amp;"")</f>
        <v/>
      </c>
      <c r="K24" s="2">
        <f>IF(B24="","",INDEX(Lines!$K$2:$K$500,B24)&amp;"")</f>
        <v/>
      </c>
      <c r="L24" s="2">
        <f>IF(B24="","",INDEX(Lines!$O$2:$O$500,B24)&amp;"")</f>
        <v/>
      </c>
      <c r="M24" s="9">
        <f>IF(B24="","",IF(E24="quote",INDEX(Lines!$N$2:$N$500,B24),""))</f>
        <v/>
      </c>
      <c r="N24" s="9">
        <f>IF(B24="","",IF(E24="quote",IF(INDEX(Lines!$Z$2:$Z$500,B24)=0,"",INDEX(Lines!$Y$2:$Y$500,B24)),INDEX(Lines!$N$2:$N$500,B24)))</f>
        <v/>
      </c>
      <c r="O24" s="9">
        <f>IF(B24="","",N(N24)-N(M24))</f>
        <v/>
      </c>
      <c r="P24" s="2">
        <f>IF(B24="","",INDEX(Lines!$AB$2:$AB$500,B24)&amp;"")</f>
        <v/>
      </c>
      <c r="Q24" s="2">
        <f>IF(B24="","",IFERROR(INDEX(Notes!$F$62:$F$111,MATCH(F24&amp;"|"&amp;I24,Notes!$G$62:$G$111,0)),""))</f>
        <v/>
      </c>
    </row>
    <row r="25">
      <c r="A25" s="2" t="n">
        <v>24</v>
      </c>
      <c r="B25" s="2">
        <f>IFERROR(MATCH(A25,Lines!$AC$2:$AC$500,0),"")</f>
        <v/>
      </c>
      <c r="C25" s="2">
        <f>IF(B25="","",INDEX(Lines!$B$2:$B$500,B25)&amp;"")</f>
        <v/>
      </c>
      <c r="D25" s="2">
        <f>IF(B25="","",INDEX(Lines!$C$2:$C$500,B25)&amp;"")</f>
        <v/>
      </c>
      <c r="E25" s="2">
        <f>IF(B25="","",INDEX(Lines!$D$2:$D$500,B25)&amp;"")</f>
        <v/>
      </c>
      <c r="F25" s="2">
        <f>IF(B25="","",INDEX(Lines!$E$2:$E$500,B25)&amp;"")</f>
        <v/>
      </c>
      <c r="G25" s="2">
        <f>IF(B25="","",INDEX(Lines!$G$2:$G$500,B25)&amp;"")</f>
        <v/>
      </c>
      <c r="H25" s="2">
        <f>IF(B25="","",INDEX(Lines!$H$2:$H$500,B25))</f>
        <v/>
      </c>
      <c r="I25" s="2">
        <f>IF(B25="","",INDEX(Lines!$I$2:$I$500,B25))</f>
        <v/>
      </c>
      <c r="J25" s="2">
        <f>IF(B25="","",INDEX(Lines!$J$2:$J$500,B25)&amp;"")</f>
        <v/>
      </c>
      <c r="K25" s="2">
        <f>IF(B25="","",INDEX(Lines!$K$2:$K$500,B25)&amp;"")</f>
        <v/>
      </c>
      <c r="L25" s="2">
        <f>IF(B25="","",INDEX(Lines!$O$2:$O$500,B25)&amp;"")</f>
        <v/>
      </c>
      <c r="M25" s="9">
        <f>IF(B25="","",IF(E25="quote",INDEX(Lines!$N$2:$N$500,B25),""))</f>
        <v/>
      </c>
      <c r="N25" s="9">
        <f>IF(B25="","",IF(E25="quote",IF(INDEX(Lines!$Z$2:$Z$500,B25)=0,"",INDEX(Lines!$Y$2:$Y$500,B25)),INDEX(Lines!$N$2:$N$500,B25)))</f>
        <v/>
      </c>
      <c r="O25" s="9">
        <f>IF(B25="","",N(N25)-N(M25))</f>
        <v/>
      </c>
      <c r="P25" s="2">
        <f>IF(B25="","",INDEX(Lines!$AB$2:$AB$500,B25)&amp;"")</f>
        <v/>
      </c>
      <c r="Q25" s="2">
        <f>IF(B25="","",IFERROR(INDEX(Notes!$F$62:$F$111,MATCH(F25&amp;"|"&amp;I25,Notes!$G$62:$G$111,0)),""))</f>
        <v/>
      </c>
    </row>
    <row r="26">
      <c r="A26" s="2" t="n">
        <v>25</v>
      </c>
      <c r="B26" s="2">
        <f>IFERROR(MATCH(A26,Lines!$AC$2:$AC$500,0),"")</f>
        <v/>
      </c>
      <c r="C26" s="2">
        <f>IF(B26="","",INDEX(Lines!$B$2:$B$500,B26)&amp;"")</f>
        <v/>
      </c>
      <c r="D26" s="2">
        <f>IF(B26="","",INDEX(Lines!$C$2:$C$500,B26)&amp;"")</f>
        <v/>
      </c>
      <c r="E26" s="2">
        <f>IF(B26="","",INDEX(Lines!$D$2:$D$500,B26)&amp;"")</f>
        <v/>
      </c>
      <c r="F26" s="2">
        <f>IF(B26="","",INDEX(Lines!$E$2:$E$500,B26)&amp;"")</f>
        <v/>
      </c>
      <c r="G26" s="2">
        <f>IF(B26="","",INDEX(Lines!$G$2:$G$500,B26)&amp;"")</f>
        <v/>
      </c>
      <c r="H26" s="2">
        <f>IF(B26="","",INDEX(Lines!$H$2:$H$500,B26))</f>
        <v/>
      </c>
      <c r="I26" s="2">
        <f>IF(B26="","",INDEX(Lines!$I$2:$I$500,B26))</f>
        <v/>
      </c>
      <c r="J26" s="2">
        <f>IF(B26="","",INDEX(Lines!$J$2:$J$500,B26)&amp;"")</f>
        <v/>
      </c>
      <c r="K26" s="2">
        <f>IF(B26="","",INDEX(Lines!$K$2:$K$500,B26)&amp;"")</f>
        <v/>
      </c>
      <c r="L26" s="2">
        <f>IF(B26="","",INDEX(Lines!$O$2:$O$500,B26)&amp;"")</f>
        <v/>
      </c>
      <c r="M26" s="9">
        <f>IF(B26="","",IF(E26="quote",INDEX(Lines!$N$2:$N$500,B26),""))</f>
        <v/>
      </c>
      <c r="N26" s="9">
        <f>IF(B26="","",IF(E26="quote",IF(INDEX(Lines!$Z$2:$Z$500,B26)=0,"",INDEX(Lines!$Y$2:$Y$500,B26)),INDEX(Lines!$N$2:$N$500,B26)))</f>
        <v/>
      </c>
      <c r="O26" s="9">
        <f>IF(B26="","",N(N26)-N(M26))</f>
        <v/>
      </c>
      <c r="P26" s="2">
        <f>IF(B26="","",INDEX(Lines!$AB$2:$AB$500,B26)&amp;"")</f>
        <v/>
      </c>
      <c r="Q26" s="2">
        <f>IF(B26="","",IFERROR(INDEX(Notes!$F$62:$F$111,MATCH(F26&amp;"|"&amp;I26,Notes!$G$62:$G$111,0)),""))</f>
        <v/>
      </c>
    </row>
    <row r="27">
      <c r="A27" s="2" t="n">
        <v>26</v>
      </c>
      <c r="B27" s="2">
        <f>IFERROR(MATCH(A27,Lines!$AC$2:$AC$500,0),"")</f>
        <v/>
      </c>
      <c r="C27" s="2">
        <f>IF(B27="","",INDEX(Lines!$B$2:$B$500,B27)&amp;"")</f>
        <v/>
      </c>
      <c r="D27" s="2">
        <f>IF(B27="","",INDEX(Lines!$C$2:$C$500,B27)&amp;"")</f>
        <v/>
      </c>
      <c r="E27" s="2">
        <f>IF(B27="","",INDEX(Lines!$D$2:$D$500,B27)&amp;"")</f>
        <v/>
      </c>
      <c r="F27" s="2">
        <f>IF(B27="","",INDEX(Lines!$E$2:$E$500,B27)&amp;"")</f>
        <v/>
      </c>
      <c r="G27" s="2">
        <f>IF(B27="","",INDEX(Lines!$G$2:$G$500,B27)&amp;"")</f>
        <v/>
      </c>
      <c r="H27" s="2">
        <f>IF(B27="","",INDEX(Lines!$H$2:$H$500,B27))</f>
        <v/>
      </c>
      <c r="I27" s="2">
        <f>IF(B27="","",INDEX(Lines!$I$2:$I$500,B27))</f>
        <v/>
      </c>
      <c r="J27" s="2">
        <f>IF(B27="","",INDEX(Lines!$J$2:$J$500,B27)&amp;"")</f>
        <v/>
      </c>
      <c r="K27" s="2">
        <f>IF(B27="","",INDEX(Lines!$K$2:$K$500,B27)&amp;"")</f>
        <v/>
      </c>
      <c r="L27" s="2">
        <f>IF(B27="","",INDEX(Lines!$O$2:$O$500,B27)&amp;"")</f>
        <v/>
      </c>
      <c r="M27" s="9">
        <f>IF(B27="","",IF(E27="quote",INDEX(Lines!$N$2:$N$500,B27),""))</f>
        <v/>
      </c>
      <c r="N27" s="9">
        <f>IF(B27="","",IF(E27="quote",IF(INDEX(Lines!$Z$2:$Z$500,B27)=0,"",INDEX(Lines!$Y$2:$Y$500,B27)),INDEX(Lines!$N$2:$N$500,B27)))</f>
        <v/>
      </c>
      <c r="O27" s="9">
        <f>IF(B27="","",N(N27)-N(M27))</f>
        <v/>
      </c>
      <c r="P27" s="2">
        <f>IF(B27="","",INDEX(Lines!$AB$2:$AB$500,B27)&amp;"")</f>
        <v/>
      </c>
      <c r="Q27" s="2">
        <f>IF(B27="","",IFERROR(INDEX(Notes!$F$62:$F$111,MATCH(F27&amp;"|"&amp;I27,Notes!$G$62:$G$111,0)),""))</f>
        <v/>
      </c>
    </row>
    <row r="28">
      <c r="A28" s="2" t="n">
        <v>27</v>
      </c>
      <c r="B28" s="2">
        <f>IFERROR(MATCH(A28,Lines!$AC$2:$AC$500,0),"")</f>
        <v/>
      </c>
      <c r="C28" s="2">
        <f>IF(B28="","",INDEX(Lines!$B$2:$B$500,B28)&amp;"")</f>
        <v/>
      </c>
      <c r="D28" s="2">
        <f>IF(B28="","",INDEX(Lines!$C$2:$C$500,B28)&amp;"")</f>
        <v/>
      </c>
      <c r="E28" s="2">
        <f>IF(B28="","",INDEX(Lines!$D$2:$D$500,B28)&amp;"")</f>
        <v/>
      </c>
      <c r="F28" s="2">
        <f>IF(B28="","",INDEX(Lines!$E$2:$E$500,B28)&amp;"")</f>
        <v/>
      </c>
      <c r="G28" s="2">
        <f>IF(B28="","",INDEX(Lines!$G$2:$G$500,B28)&amp;"")</f>
        <v/>
      </c>
      <c r="H28" s="2">
        <f>IF(B28="","",INDEX(Lines!$H$2:$H$500,B28))</f>
        <v/>
      </c>
      <c r="I28" s="2">
        <f>IF(B28="","",INDEX(Lines!$I$2:$I$500,B28))</f>
        <v/>
      </c>
      <c r="J28" s="2">
        <f>IF(B28="","",INDEX(Lines!$J$2:$J$500,B28)&amp;"")</f>
        <v/>
      </c>
      <c r="K28" s="2">
        <f>IF(B28="","",INDEX(Lines!$K$2:$K$500,B28)&amp;"")</f>
        <v/>
      </c>
      <c r="L28" s="2">
        <f>IF(B28="","",INDEX(Lines!$O$2:$O$500,B28)&amp;"")</f>
        <v/>
      </c>
      <c r="M28" s="9">
        <f>IF(B28="","",IF(E28="quote",INDEX(Lines!$N$2:$N$500,B28),""))</f>
        <v/>
      </c>
      <c r="N28" s="9">
        <f>IF(B28="","",IF(E28="quote",IF(INDEX(Lines!$Z$2:$Z$500,B28)=0,"",INDEX(Lines!$Y$2:$Y$500,B28)),INDEX(Lines!$N$2:$N$500,B28)))</f>
        <v/>
      </c>
      <c r="O28" s="9">
        <f>IF(B28="","",N(N28)-N(M28))</f>
        <v/>
      </c>
      <c r="P28" s="2">
        <f>IF(B28="","",INDEX(Lines!$AB$2:$AB$500,B28)&amp;"")</f>
        <v/>
      </c>
      <c r="Q28" s="2">
        <f>IF(B28="","",IFERROR(INDEX(Notes!$F$62:$F$111,MATCH(F28&amp;"|"&amp;I28,Notes!$G$62:$G$111,0)),""))</f>
        <v/>
      </c>
    </row>
    <row r="29">
      <c r="A29" s="2" t="n">
        <v>28</v>
      </c>
      <c r="B29" s="2">
        <f>IFERROR(MATCH(A29,Lines!$AC$2:$AC$500,0),"")</f>
        <v/>
      </c>
      <c r="C29" s="2">
        <f>IF(B29="","",INDEX(Lines!$B$2:$B$500,B29)&amp;"")</f>
        <v/>
      </c>
      <c r="D29" s="2">
        <f>IF(B29="","",INDEX(Lines!$C$2:$C$500,B29)&amp;"")</f>
        <v/>
      </c>
      <c r="E29" s="2">
        <f>IF(B29="","",INDEX(Lines!$D$2:$D$500,B29)&amp;"")</f>
        <v/>
      </c>
      <c r="F29" s="2">
        <f>IF(B29="","",INDEX(Lines!$E$2:$E$500,B29)&amp;"")</f>
        <v/>
      </c>
      <c r="G29" s="2">
        <f>IF(B29="","",INDEX(Lines!$G$2:$G$500,B29)&amp;"")</f>
        <v/>
      </c>
      <c r="H29" s="2">
        <f>IF(B29="","",INDEX(Lines!$H$2:$H$500,B29))</f>
        <v/>
      </c>
      <c r="I29" s="2">
        <f>IF(B29="","",INDEX(Lines!$I$2:$I$500,B29))</f>
        <v/>
      </c>
      <c r="J29" s="2">
        <f>IF(B29="","",INDEX(Lines!$J$2:$J$500,B29)&amp;"")</f>
        <v/>
      </c>
      <c r="K29" s="2">
        <f>IF(B29="","",INDEX(Lines!$K$2:$K$500,B29)&amp;"")</f>
        <v/>
      </c>
      <c r="L29" s="2">
        <f>IF(B29="","",INDEX(Lines!$O$2:$O$500,B29)&amp;"")</f>
        <v/>
      </c>
      <c r="M29" s="9">
        <f>IF(B29="","",IF(E29="quote",INDEX(Lines!$N$2:$N$500,B29),""))</f>
        <v/>
      </c>
      <c r="N29" s="9">
        <f>IF(B29="","",IF(E29="quote",IF(INDEX(Lines!$Z$2:$Z$500,B29)=0,"",INDEX(Lines!$Y$2:$Y$500,B29)),INDEX(Lines!$N$2:$N$500,B29)))</f>
        <v/>
      </c>
      <c r="O29" s="9">
        <f>IF(B29="","",N(N29)-N(M29))</f>
        <v/>
      </c>
      <c r="P29" s="2">
        <f>IF(B29="","",INDEX(Lines!$AB$2:$AB$500,B29)&amp;"")</f>
        <v/>
      </c>
      <c r="Q29" s="2">
        <f>IF(B29="","",IFERROR(INDEX(Notes!$F$62:$F$111,MATCH(F29&amp;"|"&amp;I29,Notes!$G$62:$G$111,0)),""))</f>
        <v/>
      </c>
    </row>
    <row r="30">
      <c r="A30" s="2" t="n">
        <v>29</v>
      </c>
      <c r="B30" s="2">
        <f>IFERROR(MATCH(A30,Lines!$AC$2:$AC$500,0),"")</f>
        <v/>
      </c>
      <c r="C30" s="2">
        <f>IF(B30="","",INDEX(Lines!$B$2:$B$500,B30)&amp;"")</f>
        <v/>
      </c>
      <c r="D30" s="2">
        <f>IF(B30="","",INDEX(Lines!$C$2:$C$500,B30)&amp;"")</f>
        <v/>
      </c>
      <c r="E30" s="2">
        <f>IF(B30="","",INDEX(Lines!$D$2:$D$500,B30)&amp;"")</f>
        <v/>
      </c>
      <c r="F30" s="2">
        <f>IF(B30="","",INDEX(Lines!$E$2:$E$500,B30)&amp;"")</f>
        <v/>
      </c>
      <c r="G30" s="2">
        <f>IF(B30="","",INDEX(Lines!$G$2:$G$500,B30)&amp;"")</f>
        <v/>
      </c>
      <c r="H30" s="2">
        <f>IF(B30="","",INDEX(Lines!$H$2:$H$500,B30))</f>
        <v/>
      </c>
      <c r="I30" s="2">
        <f>IF(B30="","",INDEX(Lines!$I$2:$I$500,B30))</f>
        <v/>
      </c>
      <c r="J30" s="2">
        <f>IF(B30="","",INDEX(Lines!$J$2:$J$500,B30)&amp;"")</f>
        <v/>
      </c>
      <c r="K30" s="2">
        <f>IF(B30="","",INDEX(Lines!$K$2:$K$500,B30)&amp;"")</f>
        <v/>
      </c>
      <c r="L30" s="2">
        <f>IF(B30="","",INDEX(Lines!$O$2:$O$500,B30)&amp;"")</f>
        <v/>
      </c>
      <c r="M30" s="9">
        <f>IF(B30="","",IF(E30="quote",INDEX(Lines!$N$2:$N$500,B30),""))</f>
        <v/>
      </c>
      <c r="N30" s="9">
        <f>IF(B30="","",IF(E30="quote",IF(INDEX(Lines!$Z$2:$Z$500,B30)=0,"",INDEX(Lines!$Y$2:$Y$500,B30)),INDEX(Lines!$N$2:$N$500,B30)))</f>
        <v/>
      </c>
      <c r="O30" s="9">
        <f>IF(B30="","",N(N30)-N(M30))</f>
        <v/>
      </c>
      <c r="P30" s="2">
        <f>IF(B30="","",INDEX(Lines!$AB$2:$AB$500,B30)&amp;"")</f>
        <v/>
      </c>
      <c r="Q30" s="2">
        <f>IF(B30="","",IFERROR(INDEX(Notes!$F$62:$F$111,MATCH(F30&amp;"|"&amp;I30,Notes!$G$62:$G$111,0)),""))</f>
        <v/>
      </c>
    </row>
    <row r="31">
      <c r="A31" s="2" t="n">
        <v>30</v>
      </c>
      <c r="B31" s="2">
        <f>IFERROR(MATCH(A31,Lines!$AC$2:$AC$500,0),"")</f>
        <v/>
      </c>
      <c r="C31" s="2">
        <f>IF(B31="","",INDEX(Lines!$B$2:$B$500,B31)&amp;"")</f>
        <v/>
      </c>
      <c r="D31" s="2">
        <f>IF(B31="","",INDEX(Lines!$C$2:$C$500,B31)&amp;"")</f>
        <v/>
      </c>
      <c r="E31" s="2">
        <f>IF(B31="","",INDEX(Lines!$D$2:$D$500,B31)&amp;"")</f>
        <v/>
      </c>
      <c r="F31" s="2">
        <f>IF(B31="","",INDEX(Lines!$E$2:$E$500,B31)&amp;"")</f>
        <v/>
      </c>
      <c r="G31" s="2">
        <f>IF(B31="","",INDEX(Lines!$G$2:$G$500,B31)&amp;"")</f>
        <v/>
      </c>
      <c r="H31" s="2">
        <f>IF(B31="","",INDEX(Lines!$H$2:$H$500,B31))</f>
        <v/>
      </c>
      <c r="I31" s="2">
        <f>IF(B31="","",INDEX(Lines!$I$2:$I$500,B31))</f>
        <v/>
      </c>
      <c r="J31" s="2">
        <f>IF(B31="","",INDEX(Lines!$J$2:$J$500,B31)&amp;"")</f>
        <v/>
      </c>
      <c r="K31" s="2">
        <f>IF(B31="","",INDEX(Lines!$K$2:$K$500,B31)&amp;"")</f>
        <v/>
      </c>
      <c r="L31" s="2">
        <f>IF(B31="","",INDEX(Lines!$O$2:$O$500,B31)&amp;"")</f>
        <v/>
      </c>
      <c r="M31" s="9">
        <f>IF(B31="","",IF(E31="quote",INDEX(Lines!$N$2:$N$500,B31),""))</f>
        <v/>
      </c>
      <c r="N31" s="9">
        <f>IF(B31="","",IF(E31="quote",IF(INDEX(Lines!$Z$2:$Z$500,B31)=0,"",INDEX(Lines!$Y$2:$Y$500,B31)),INDEX(Lines!$N$2:$N$500,B31)))</f>
        <v/>
      </c>
      <c r="O31" s="9">
        <f>IF(B31="","",N(N31)-N(M31))</f>
        <v/>
      </c>
      <c r="P31" s="2">
        <f>IF(B31="","",INDEX(Lines!$AB$2:$AB$500,B31)&amp;"")</f>
        <v/>
      </c>
      <c r="Q31" s="2">
        <f>IF(B31="","",IFERROR(INDEX(Notes!$F$62:$F$111,MATCH(F31&amp;"|"&amp;I31,Notes!$G$62:$G$111,0)),""))</f>
        <v/>
      </c>
    </row>
    <row r="32">
      <c r="A32" s="2" t="n">
        <v>31</v>
      </c>
      <c r="B32" s="2">
        <f>IFERROR(MATCH(A32,Lines!$AC$2:$AC$500,0),"")</f>
        <v/>
      </c>
      <c r="C32" s="2">
        <f>IF(B32="","",INDEX(Lines!$B$2:$B$500,B32)&amp;"")</f>
        <v/>
      </c>
      <c r="D32" s="2">
        <f>IF(B32="","",INDEX(Lines!$C$2:$C$500,B32)&amp;"")</f>
        <v/>
      </c>
      <c r="E32" s="2">
        <f>IF(B32="","",INDEX(Lines!$D$2:$D$500,B32)&amp;"")</f>
        <v/>
      </c>
      <c r="F32" s="2">
        <f>IF(B32="","",INDEX(Lines!$E$2:$E$500,B32)&amp;"")</f>
        <v/>
      </c>
      <c r="G32" s="2">
        <f>IF(B32="","",INDEX(Lines!$G$2:$G$500,B32)&amp;"")</f>
        <v/>
      </c>
      <c r="H32" s="2">
        <f>IF(B32="","",INDEX(Lines!$H$2:$H$500,B32))</f>
        <v/>
      </c>
      <c r="I32" s="2">
        <f>IF(B32="","",INDEX(Lines!$I$2:$I$500,B32))</f>
        <v/>
      </c>
      <c r="J32" s="2">
        <f>IF(B32="","",INDEX(Lines!$J$2:$J$500,B32)&amp;"")</f>
        <v/>
      </c>
      <c r="K32" s="2">
        <f>IF(B32="","",INDEX(Lines!$K$2:$K$500,B32)&amp;"")</f>
        <v/>
      </c>
      <c r="L32" s="2">
        <f>IF(B32="","",INDEX(Lines!$O$2:$O$500,B32)&amp;"")</f>
        <v/>
      </c>
      <c r="M32" s="9">
        <f>IF(B32="","",IF(E32="quote",INDEX(Lines!$N$2:$N$500,B32),""))</f>
        <v/>
      </c>
      <c r="N32" s="9">
        <f>IF(B32="","",IF(E32="quote",IF(INDEX(Lines!$Z$2:$Z$500,B32)=0,"",INDEX(Lines!$Y$2:$Y$500,B32)),INDEX(Lines!$N$2:$N$500,B32)))</f>
        <v/>
      </c>
      <c r="O32" s="9">
        <f>IF(B32="","",N(N32)-N(M32))</f>
        <v/>
      </c>
      <c r="P32" s="2">
        <f>IF(B32="","",INDEX(Lines!$AB$2:$AB$500,B32)&amp;"")</f>
        <v/>
      </c>
      <c r="Q32" s="2">
        <f>IF(B32="","",IFERROR(INDEX(Notes!$F$62:$F$111,MATCH(F32&amp;"|"&amp;I32,Notes!$G$62:$G$111,0)),""))</f>
        <v/>
      </c>
    </row>
    <row r="33">
      <c r="A33" s="2" t="n">
        <v>32</v>
      </c>
      <c r="B33" s="2">
        <f>IFERROR(MATCH(A33,Lines!$AC$2:$AC$500,0),"")</f>
        <v/>
      </c>
      <c r="C33" s="2">
        <f>IF(B33="","",INDEX(Lines!$B$2:$B$500,B33)&amp;"")</f>
        <v/>
      </c>
      <c r="D33" s="2">
        <f>IF(B33="","",INDEX(Lines!$C$2:$C$500,B33)&amp;"")</f>
        <v/>
      </c>
      <c r="E33" s="2">
        <f>IF(B33="","",INDEX(Lines!$D$2:$D$500,B33)&amp;"")</f>
        <v/>
      </c>
      <c r="F33" s="2">
        <f>IF(B33="","",INDEX(Lines!$E$2:$E$500,B33)&amp;"")</f>
        <v/>
      </c>
      <c r="G33" s="2">
        <f>IF(B33="","",INDEX(Lines!$G$2:$G$500,B33)&amp;"")</f>
        <v/>
      </c>
      <c r="H33" s="2">
        <f>IF(B33="","",INDEX(Lines!$H$2:$H$500,B33))</f>
        <v/>
      </c>
      <c r="I33" s="2">
        <f>IF(B33="","",INDEX(Lines!$I$2:$I$500,B33))</f>
        <v/>
      </c>
      <c r="J33" s="2">
        <f>IF(B33="","",INDEX(Lines!$J$2:$J$500,B33)&amp;"")</f>
        <v/>
      </c>
      <c r="K33" s="2">
        <f>IF(B33="","",INDEX(Lines!$K$2:$K$500,B33)&amp;"")</f>
        <v/>
      </c>
      <c r="L33" s="2">
        <f>IF(B33="","",INDEX(Lines!$O$2:$O$500,B33)&amp;"")</f>
        <v/>
      </c>
      <c r="M33" s="9">
        <f>IF(B33="","",IF(E33="quote",INDEX(Lines!$N$2:$N$500,B33),""))</f>
        <v/>
      </c>
      <c r="N33" s="9">
        <f>IF(B33="","",IF(E33="quote",IF(INDEX(Lines!$Z$2:$Z$500,B33)=0,"",INDEX(Lines!$Y$2:$Y$500,B33)),INDEX(Lines!$N$2:$N$500,B33)))</f>
        <v/>
      </c>
      <c r="O33" s="9">
        <f>IF(B33="","",N(N33)-N(M33))</f>
        <v/>
      </c>
      <c r="P33" s="2">
        <f>IF(B33="","",INDEX(Lines!$AB$2:$AB$500,B33)&amp;"")</f>
        <v/>
      </c>
      <c r="Q33" s="2">
        <f>IF(B33="","",IFERROR(INDEX(Notes!$F$62:$F$111,MATCH(F33&amp;"|"&amp;I33,Notes!$G$62:$G$111,0)),""))</f>
        <v/>
      </c>
    </row>
    <row r="34">
      <c r="A34" s="2" t="n">
        <v>33</v>
      </c>
      <c r="B34" s="2">
        <f>IFERROR(MATCH(A34,Lines!$AC$2:$AC$500,0),"")</f>
        <v/>
      </c>
      <c r="C34" s="2">
        <f>IF(B34="","",INDEX(Lines!$B$2:$B$500,B34)&amp;"")</f>
        <v/>
      </c>
      <c r="D34" s="2">
        <f>IF(B34="","",INDEX(Lines!$C$2:$C$500,B34)&amp;"")</f>
        <v/>
      </c>
      <c r="E34" s="2">
        <f>IF(B34="","",INDEX(Lines!$D$2:$D$500,B34)&amp;"")</f>
        <v/>
      </c>
      <c r="F34" s="2">
        <f>IF(B34="","",INDEX(Lines!$E$2:$E$500,B34)&amp;"")</f>
        <v/>
      </c>
      <c r="G34" s="2">
        <f>IF(B34="","",INDEX(Lines!$G$2:$G$500,B34)&amp;"")</f>
        <v/>
      </c>
      <c r="H34" s="2">
        <f>IF(B34="","",INDEX(Lines!$H$2:$H$500,B34))</f>
        <v/>
      </c>
      <c r="I34" s="2">
        <f>IF(B34="","",INDEX(Lines!$I$2:$I$500,B34))</f>
        <v/>
      </c>
      <c r="J34" s="2">
        <f>IF(B34="","",INDEX(Lines!$J$2:$J$500,B34)&amp;"")</f>
        <v/>
      </c>
      <c r="K34" s="2">
        <f>IF(B34="","",INDEX(Lines!$K$2:$K$500,B34)&amp;"")</f>
        <v/>
      </c>
      <c r="L34" s="2">
        <f>IF(B34="","",INDEX(Lines!$O$2:$O$500,B34)&amp;"")</f>
        <v/>
      </c>
      <c r="M34" s="9">
        <f>IF(B34="","",IF(E34="quote",INDEX(Lines!$N$2:$N$500,B34),""))</f>
        <v/>
      </c>
      <c r="N34" s="9">
        <f>IF(B34="","",IF(E34="quote",IF(INDEX(Lines!$Z$2:$Z$500,B34)=0,"",INDEX(Lines!$Y$2:$Y$500,B34)),INDEX(Lines!$N$2:$N$500,B34)))</f>
        <v/>
      </c>
      <c r="O34" s="9">
        <f>IF(B34="","",N(N34)-N(M34))</f>
        <v/>
      </c>
      <c r="P34" s="2">
        <f>IF(B34="","",INDEX(Lines!$AB$2:$AB$500,B34)&amp;"")</f>
        <v/>
      </c>
      <c r="Q34" s="2">
        <f>IF(B34="","",IFERROR(INDEX(Notes!$F$62:$F$111,MATCH(F34&amp;"|"&amp;I34,Notes!$G$62:$G$111,0)),""))</f>
        <v/>
      </c>
    </row>
    <row r="35">
      <c r="A35" s="2" t="n">
        <v>34</v>
      </c>
      <c r="B35" s="2">
        <f>IFERROR(MATCH(A35,Lines!$AC$2:$AC$500,0),"")</f>
        <v/>
      </c>
      <c r="C35" s="2">
        <f>IF(B35="","",INDEX(Lines!$B$2:$B$500,B35)&amp;"")</f>
        <v/>
      </c>
      <c r="D35" s="2">
        <f>IF(B35="","",INDEX(Lines!$C$2:$C$500,B35)&amp;"")</f>
        <v/>
      </c>
      <c r="E35" s="2">
        <f>IF(B35="","",INDEX(Lines!$D$2:$D$500,B35)&amp;"")</f>
        <v/>
      </c>
      <c r="F35" s="2">
        <f>IF(B35="","",INDEX(Lines!$E$2:$E$500,B35)&amp;"")</f>
        <v/>
      </c>
      <c r="G35" s="2">
        <f>IF(B35="","",INDEX(Lines!$G$2:$G$500,B35)&amp;"")</f>
        <v/>
      </c>
      <c r="H35" s="2">
        <f>IF(B35="","",INDEX(Lines!$H$2:$H$500,B35))</f>
        <v/>
      </c>
      <c r="I35" s="2">
        <f>IF(B35="","",INDEX(Lines!$I$2:$I$500,B35))</f>
        <v/>
      </c>
      <c r="J35" s="2">
        <f>IF(B35="","",INDEX(Lines!$J$2:$J$500,B35)&amp;"")</f>
        <v/>
      </c>
      <c r="K35" s="2">
        <f>IF(B35="","",INDEX(Lines!$K$2:$K$500,B35)&amp;"")</f>
        <v/>
      </c>
      <c r="L35" s="2">
        <f>IF(B35="","",INDEX(Lines!$O$2:$O$500,B35)&amp;"")</f>
        <v/>
      </c>
      <c r="M35" s="9">
        <f>IF(B35="","",IF(E35="quote",INDEX(Lines!$N$2:$N$500,B35),""))</f>
        <v/>
      </c>
      <c r="N35" s="9">
        <f>IF(B35="","",IF(E35="quote",IF(INDEX(Lines!$Z$2:$Z$500,B35)=0,"",INDEX(Lines!$Y$2:$Y$500,B35)),INDEX(Lines!$N$2:$N$500,B35)))</f>
        <v/>
      </c>
      <c r="O35" s="9">
        <f>IF(B35="","",N(N35)-N(M35))</f>
        <v/>
      </c>
      <c r="P35" s="2">
        <f>IF(B35="","",INDEX(Lines!$AB$2:$AB$500,B35)&amp;"")</f>
        <v/>
      </c>
      <c r="Q35" s="2">
        <f>IF(B35="","",IFERROR(INDEX(Notes!$F$62:$F$111,MATCH(F35&amp;"|"&amp;I35,Notes!$G$62:$G$111,0)),""))</f>
        <v/>
      </c>
    </row>
    <row r="36">
      <c r="A36" s="2" t="n">
        <v>35</v>
      </c>
      <c r="B36" s="2">
        <f>IFERROR(MATCH(A36,Lines!$AC$2:$AC$500,0),"")</f>
        <v/>
      </c>
      <c r="C36" s="2">
        <f>IF(B36="","",INDEX(Lines!$B$2:$B$500,B36)&amp;"")</f>
        <v/>
      </c>
      <c r="D36" s="2">
        <f>IF(B36="","",INDEX(Lines!$C$2:$C$500,B36)&amp;"")</f>
        <v/>
      </c>
      <c r="E36" s="2">
        <f>IF(B36="","",INDEX(Lines!$D$2:$D$500,B36)&amp;"")</f>
        <v/>
      </c>
      <c r="F36" s="2">
        <f>IF(B36="","",INDEX(Lines!$E$2:$E$500,B36)&amp;"")</f>
        <v/>
      </c>
      <c r="G36" s="2">
        <f>IF(B36="","",INDEX(Lines!$G$2:$G$500,B36)&amp;"")</f>
        <v/>
      </c>
      <c r="H36" s="2">
        <f>IF(B36="","",INDEX(Lines!$H$2:$H$500,B36))</f>
        <v/>
      </c>
      <c r="I36" s="2">
        <f>IF(B36="","",INDEX(Lines!$I$2:$I$500,B36))</f>
        <v/>
      </c>
      <c r="J36" s="2">
        <f>IF(B36="","",INDEX(Lines!$J$2:$J$500,B36)&amp;"")</f>
        <v/>
      </c>
      <c r="K36" s="2">
        <f>IF(B36="","",INDEX(Lines!$K$2:$K$500,B36)&amp;"")</f>
        <v/>
      </c>
      <c r="L36" s="2">
        <f>IF(B36="","",INDEX(Lines!$O$2:$O$500,B36)&amp;"")</f>
        <v/>
      </c>
      <c r="M36" s="9">
        <f>IF(B36="","",IF(E36="quote",INDEX(Lines!$N$2:$N$500,B36),""))</f>
        <v/>
      </c>
      <c r="N36" s="9">
        <f>IF(B36="","",IF(E36="quote",IF(INDEX(Lines!$Z$2:$Z$500,B36)=0,"",INDEX(Lines!$Y$2:$Y$500,B36)),INDEX(Lines!$N$2:$N$500,B36)))</f>
        <v/>
      </c>
      <c r="O36" s="9">
        <f>IF(B36="","",N(N36)-N(M36))</f>
        <v/>
      </c>
      <c r="P36" s="2">
        <f>IF(B36="","",INDEX(Lines!$AB$2:$AB$500,B36)&amp;"")</f>
        <v/>
      </c>
      <c r="Q36" s="2">
        <f>IF(B36="","",IFERROR(INDEX(Notes!$F$62:$F$111,MATCH(F36&amp;"|"&amp;I36,Notes!$G$62:$G$111,0)),""))</f>
        <v/>
      </c>
    </row>
    <row r="37">
      <c r="A37" s="2" t="n">
        <v>36</v>
      </c>
      <c r="B37" s="2">
        <f>IFERROR(MATCH(A37,Lines!$AC$2:$AC$500,0),"")</f>
        <v/>
      </c>
      <c r="C37" s="2">
        <f>IF(B37="","",INDEX(Lines!$B$2:$B$500,B37)&amp;"")</f>
        <v/>
      </c>
      <c r="D37" s="2">
        <f>IF(B37="","",INDEX(Lines!$C$2:$C$500,B37)&amp;"")</f>
        <v/>
      </c>
      <c r="E37" s="2">
        <f>IF(B37="","",INDEX(Lines!$D$2:$D$500,B37)&amp;"")</f>
        <v/>
      </c>
      <c r="F37" s="2">
        <f>IF(B37="","",INDEX(Lines!$E$2:$E$500,B37)&amp;"")</f>
        <v/>
      </c>
      <c r="G37" s="2">
        <f>IF(B37="","",INDEX(Lines!$G$2:$G$500,B37)&amp;"")</f>
        <v/>
      </c>
      <c r="H37" s="2">
        <f>IF(B37="","",INDEX(Lines!$H$2:$H$500,B37))</f>
        <v/>
      </c>
      <c r="I37" s="2">
        <f>IF(B37="","",INDEX(Lines!$I$2:$I$500,B37))</f>
        <v/>
      </c>
      <c r="J37" s="2">
        <f>IF(B37="","",INDEX(Lines!$J$2:$J$500,B37)&amp;"")</f>
        <v/>
      </c>
      <c r="K37" s="2">
        <f>IF(B37="","",INDEX(Lines!$K$2:$K$500,B37)&amp;"")</f>
        <v/>
      </c>
      <c r="L37" s="2">
        <f>IF(B37="","",INDEX(Lines!$O$2:$O$500,B37)&amp;"")</f>
        <v/>
      </c>
      <c r="M37" s="9">
        <f>IF(B37="","",IF(E37="quote",INDEX(Lines!$N$2:$N$500,B37),""))</f>
        <v/>
      </c>
      <c r="N37" s="9">
        <f>IF(B37="","",IF(E37="quote",IF(INDEX(Lines!$Z$2:$Z$500,B37)=0,"",INDEX(Lines!$Y$2:$Y$500,B37)),INDEX(Lines!$N$2:$N$500,B37)))</f>
        <v/>
      </c>
      <c r="O37" s="9">
        <f>IF(B37="","",N(N37)-N(M37))</f>
        <v/>
      </c>
      <c r="P37" s="2">
        <f>IF(B37="","",INDEX(Lines!$AB$2:$AB$500,B37)&amp;"")</f>
        <v/>
      </c>
      <c r="Q37" s="2">
        <f>IF(B37="","",IFERROR(INDEX(Notes!$F$62:$F$111,MATCH(F37&amp;"|"&amp;I37,Notes!$G$62:$G$111,0)),""))</f>
        <v/>
      </c>
    </row>
    <row r="38">
      <c r="A38" s="2" t="n">
        <v>37</v>
      </c>
      <c r="B38" s="2">
        <f>IFERROR(MATCH(A38,Lines!$AC$2:$AC$500,0),"")</f>
        <v/>
      </c>
      <c r="C38" s="2">
        <f>IF(B38="","",INDEX(Lines!$B$2:$B$500,B38)&amp;"")</f>
        <v/>
      </c>
      <c r="D38" s="2">
        <f>IF(B38="","",INDEX(Lines!$C$2:$C$500,B38)&amp;"")</f>
        <v/>
      </c>
      <c r="E38" s="2">
        <f>IF(B38="","",INDEX(Lines!$D$2:$D$500,B38)&amp;"")</f>
        <v/>
      </c>
      <c r="F38" s="2">
        <f>IF(B38="","",INDEX(Lines!$E$2:$E$500,B38)&amp;"")</f>
        <v/>
      </c>
      <c r="G38" s="2">
        <f>IF(B38="","",INDEX(Lines!$G$2:$G$500,B38)&amp;"")</f>
        <v/>
      </c>
      <c r="H38" s="2">
        <f>IF(B38="","",INDEX(Lines!$H$2:$H$500,B38))</f>
        <v/>
      </c>
      <c r="I38" s="2">
        <f>IF(B38="","",INDEX(Lines!$I$2:$I$500,B38))</f>
        <v/>
      </c>
      <c r="J38" s="2">
        <f>IF(B38="","",INDEX(Lines!$J$2:$J$500,B38)&amp;"")</f>
        <v/>
      </c>
      <c r="K38" s="2">
        <f>IF(B38="","",INDEX(Lines!$K$2:$K$500,B38)&amp;"")</f>
        <v/>
      </c>
      <c r="L38" s="2">
        <f>IF(B38="","",INDEX(Lines!$O$2:$O$500,B38)&amp;"")</f>
        <v/>
      </c>
      <c r="M38" s="9">
        <f>IF(B38="","",IF(E38="quote",INDEX(Lines!$N$2:$N$500,B38),""))</f>
        <v/>
      </c>
      <c r="N38" s="9">
        <f>IF(B38="","",IF(E38="quote",IF(INDEX(Lines!$Z$2:$Z$500,B38)=0,"",INDEX(Lines!$Y$2:$Y$500,B38)),INDEX(Lines!$N$2:$N$500,B38)))</f>
        <v/>
      </c>
      <c r="O38" s="9">
        <f>IF(B38="","",N(N38)-N(M38))</f>
        <v/>
      </c>
      <c r="P38" s="2">
        <f>IF(B38="","",INDEX(Lines!$AB$2:$AB$500,B38)&amp;"")</f>
        <v/>
      </c>
      <c r="Q38" s="2">
        <f>IF(B38="","",IFERROR(INDEX(Notes!$F$62:$F$111,MATCH(F38&amp;"|"&amp;I38,Notes!$G$62:$G$111,0)),""))</f>
        <v/>
      </c>
    </row>
    <row r="39">
      <c r="A39" s="2" t="n">
        <v>38</v>
      </c>
      <c r="B39" s="2">
        <f>IFERROR(MATCH(A39,Lines!$AC$2:$AC$500,0),"")</f>
        <v/>
      </c>
      <c r="C39" s="2">
        <f>IF(B39="","",INDEX(Lines!$B$2:$B$500,B39)&amp;"")</f>
        <v/>
      </c>
      <c r="D39" s="2">
        <f>IF(B39="","",INDEX(Lines!$C$2:$C$500,B39)&amp;"")</f>
        <v/>
      </c>
      <c r="E39" s="2">
        <f>IF(B39="","",INDEX(Lines!$D$2:$D$500,B39)&amp;"")</f>
        <v/>
      </c>
      <c r="F39" s="2">
        <f>IF(B39="","",INDEX(Lines!$E$2:$E$500,B39)&amp;"")</f>
        <v/>
      </c>
      <c r="G39" s="2">
        <f>IF(B39="","",INDEX(Lines!$G$2:$G$500,B39)&amp;"")</f>
        <v/>
      </c>
      <c r="H39" s="2">
        <f>IF(B39="","",INDEX(Lines!$H$2:$H$500,B39))</f>
        <v/>
      </c>
      <c r="I39" s="2">
        <f>IF(B39="","",INDEX(Lines!$I$2:$I$500,B39))</f>
        <v/>
      </c>
      <c r="J39" s="2">
        <f>IF(B39="","",INDEX(Lines!$J$2:$J$500,B39)&amp;"")</f>
        <v/>
      </c>
      <c r="K39" s="2">
        <f>IF(B39="","",INDEX(Lines!$K$2:$K$500,B39)&amp;"")</f>
        <v/>
      </c>
      <c r="L39" s="2">
        <f>IF(B39="","",INDEX(Lines!$O$2:$O$500,B39)&amp;"")</f>
        <v/>
      </c>
      <c r="M39" s="9">
        <f>IF(B39="","",IF(E39="quote",INDEX(Lines!$N$2:$N$500,B39),""))</f>
        <v/>
      </c>
      <c r="N39" s="9">
        <f>IF(B39="","",IF(E39="quote",IF(INDEX(Lines!$Z$2:$Z$500,B39)=0,"",INDEX(Lines!$Y$2:$Y$500,B39)),INDEX(Lines!$N$2:$N$500,B39)))</f>
        <v/>
      </c>
      <c r="O39" s="9">
        <f>IF(B39="","",N(N39)-N(M39))</f>
        <v/>
      </c>
      <c r="P39" s="2">
        <f>IF(B39="","",INDEX(Lines!$AB$2:$AB$500,B39)&amp;"")</f>
        <v/>
      </c>
      <c r="Q39" s="2">
        <f>IF(B39="","",IFERROR(INDEX(Notes!$F$62:$F$111,MATCH(F39&amp;"|"&amp;I39,Notes!$G$62:$G$111,0)),""))</f>
        <v/>
      </c>
    </row>
    <row r="40">
      <c r="A40" s="2" t="n">
        <v>39</v>
      </c>
      <c r="B40" s="2">
        <f>IFERROR(MATCH(A40,Lines!$AC$2:$AC$500,0),"")</f>
        <v/>
      </c>
      <c r="C40" s="2">
        <f>IF(B40="","",INDEX(Lines!$B$2:$B$500,B40)&amp;"")</f>
        <v/>
      </c>
      <c r="D40" s="2">
        <f>IF(B40="","",INDEX(Lines!$C$2:$C$500,B40)&amp;"")</f>
        <v/>
      </c>
      <c r="E40" s="2">
        <f>IF(B40="","",INDEX(Lines!$D$2:$D$500,B40)&amp;"")</f>
        <v/>
      </c>
      <c r="F40" s="2">
        <f>IF(B40="","",INDEX(Lines!$E$2:$E$500,B40)&amp;"")</f>
        <v/>
      </c>
      <c r="G40" s="2">
        <f>IF(B40="","",INDEX(Lines!$G$2:$G$500,B40)&amp;"")</f>
        <v/>
      </c>
      <c r="H40" s="2">
        <f>IF(B40="","",INDEX(Lines!$H$2:$H$500,B40))</f>
        <v/>
      </c>
      <c r="I40" s="2">
        <f>IF(B40="","",INDEX(Lines!$I$2:$I$500,B40))</f>
        <v/>
      </c>
      <c r="J40" s="2">
        <f>IF(B40="","",INDEX(Lines!$J$2:$J$500,B40)&amp;"")</f>
        <v/>
      </c>
      <c r="K40" s="2">
        <f>IF(B40="","",INDEX(Lines!$K$2:$K$500,B40)&amp;"")</f>
        <v/>
      </c>
      <c r="L40" s="2">
        <f>IF(B40="","",INDEX(Lines!$O$2:$O$500,B40)&amp;"")</f>
        <v/>
      </c>
      <c r="M40" s="9">
        <f>IF(B40="","",IF(E40="quote",INDEX(Lines!$N$2:$N$500,B40),""))</f>
        <v/>
      </c>
      <c r="N40" s="9">
        <f>IF(B40="","",IF(E40="quote",IF(INDEX(Lines!$Z$2:$Z$500,B40)=0,"",INDEX(Lines!$Y$2:$Y$500,B40)),INDEX(Lines!$N$2:$N$500,B40)))</f>
        <v/>
      </c>
      <c r="O40" s="9">
        <f>IF(B40="","",N(N40)-N(M40))</f>
        <v/>
      </c>
      <c r="P40" s="2">
        <f>IF(B40="","",INDEX(Lines!$AB$2:$AB$500,B40)&amp;"")</f>
        <v/>
      </c>
      <c r="Q40" s="2">
        <f>IF(B40="","",IFERROR(INDEX(Notes!$F$62:$F$111,MATCH(F40&amp;"|"&amp;I40,Notes!$G$62:$G$111,0)),""))</f>
        <v/>
      </c>
    </row>
    <row r="41">
      <c r="A41" s="2" t="n">
        <v>40</v>
      </c>
      <c r="B41" s="2">
        <f>IFERROR(MATCH(A41,Lines!$AC$2:$AC$500,0),"")</f>
        <v/>
      </c>
      <c r="C41" s="2">
        <f>IF(B41="","",INDEX(Lines!$B$2:$B$500,B41)&amp;"")</f>
        <v/>
      </c>
      <c r="D41" s="2">
        <f>IF(B41="","",INDEX(Lines!$C$2:$C$500,B41)&amp;"")</f>
        <v/>
      </c>
      <c r="E41" s="2">
        <f>IF(B41="","",INDEX(Lines!$D$2:$D$500,B41)&amp;"")</f>
        <v/>
      </c>
      <c r="F41" s="2">
        <f>IF(B41="","",INDEX(Lines!$E$2:$E$500,B41)&amp;"")</f>
        <v/>
      </c>
      <c r="G41" s="2">
        <f>IF(B41="","",INDEX(Lines!$G$2:$G$500,B41)&amp;"")</f>
        <v/>
      </c>
      <c r="H41" s="2">
        <f>IF(B41="","",INDEX(Lines!$H$2:$H$500,B41))</f>
        <v/>
      </c>
      <c r="I41" s="2">
        <f>IF(B41="","",INDEX(Lines!$I$2:$I$500,B41))</f>
        <v/>
      </c>
      <c r="J41" s="2">
        <f>IF(B41="","",INDEX(Lines!$J$2:$J$500,B41)&amp;"")</f>
        <v/>
      </c>
      <c r="K41" s="2">
        <f>IF(B41="","",INDEX(Lines!$K$2:$K$500,B41)&amp;"")</f>
        <v/>
      </c>
      <c r="L41" s="2">
        <f>IF(B41="","",INDEX(Lines!$O$2:$O$500,B41)&amp;"")</f>
        <v/>
      </c>
      <c r="M41" s="9">
        <f>IF(B41="","",IF(E41="quote",INDEX(Lines!$N$2:$N$500,B41),""))</f>
        <v/>
      </c>
      <c r="N41" s="9">
        <f>IF(B41="","",IF(E41="quote",IF(INDEX(Lines!$Z$2:$Z$500,B41)=0,"",INDEX(Lines!$Y$2:$Y$500,B41)),INDEX(Lines!$N$2:$N$500,B41)))</f>
        <v/>
      </c>
      <c r="O41" s="9">
        <f>IF(B41="","",N(N41)-N(M41))</f>
        <v/>
      </c>
      <c r="P41" s="2">
        <f>IF(B41="","",INDEX(Lines!$AB$2:$AB$500,B41)&amp;"")</f>
        <v/>
      </c>
      <c r="Q41" s="2">
        <f>IF(B41="","",IFERROR(INDEX(Notes!$F$62:$F$111,MATCH(F41&amp;"|"&amp;I41,Notes!$G$62:$G$111,0)),""))</f>
        <v/>
      </c>
    </row>
    <row r="42">
      <c r="A42" s="2" t="n">
        <v>41</v>
      </c>
      <c r="B42" s="2">
        <f>IFERROR(MATCH(A42,Lines!$AC$2:$AC$500,0),"")</f>
        <v/>
      </c>
      <c r="C42" s="2">
        <f>IF(B42="","",INDEX(Lines!$B$2:$B$500,B42)&amp;"")</f>
        <v/>
      </c>
      <c r="D42" s="2">
        <f>IF(B42="","",INDEX(Lines!$C$2:$C$500,B42)&amp;"")</f>
        <v/>
      </c>
      <c r="E42" s="2">
        <f>IF(B42="","",INDEX(Lines!$D$2:$D$500,B42)&amp;"")</f>
        <v/>
      </c>
      <c r="F42" s="2">
        <f>IF(B42="","",INDEX(Lines!$E$2:$E$500,B42)&amp;"")</f>
        <v/>
      </c>
      <c r="G42" s="2">
        <f>IF(B42="","",INDEX(Lines!$G$2:$G$500,B42)&amp;"")</f>
        <v/>
      </c>
      <c r="H42" s="2">
        <f>IF(B42="","",INDEX(Lines!$H$2:$H$500,B42))</f>
        <v/>
      </c>
      <c r="I42" s="2">
        <f>IF(B42="","",INDEX(Lines!$I$2:$I$500,B42))</f>
        <v/>
      </c>
      <c r="J42" s="2">
        <f>IF(B42="","",INDEX(Lines!$J$2:$J$500,B42)&amp;"")</f>
        <v/>
      </c>
      <c r="K42" s="2">
        <f>IF(B42="","",INDEX(Lines!$K$2:$K$500,B42)&amp;"")</f>
        <v/>
      </c>
      <c r="L42" s="2">
        <f>IF(B42="","",INDEX(Lines!$O$2:$O$500,B42)&amp;"")</f>
        <v/>
      </c>
      <c r="M42" s="9">
        <f>IF(B42="","",IF(E42="quote",INDEX(Lines!$N$2:$N$500,B42),""))</f>
        <v/>
      </c>
      <c r="N42" s="9">
        <f>IF(B42="","",IF(E42="quote",IF(INDEX(Lines!$Z$2:$Z$500,B42)=0,"",INDEX(Lines!$Y$2:$Y$500,B42)),INDEX(Lines!$N$2:$N$500,B42)))</f>
        <v/>
      </c>
      <c r="O42" s="9">
        <f>IF(B42="","",N(N42)-N(M42))</f>
        <v/>
      </c>
      <c r="P42" s="2">
        <f>IF(B42="","",INDEX(Lines!$AB$2:$AB$500,B42)&amp;"")</f>
        <v/>
      </c>
      <c r="Q42" s="2">
        <f>IF(B42="","",IFERROR(INDEX(Notes!$F$62:$F$111,MATCH(F42&amp;"|"&amp;I42,Notes!$G$62:$G$111,0)),""))</f>
        <v/>
      </c>
    </row>
    <row r="43">
      <c r="A43" s="2" t="n">
        <v>42</v>
      </c>
      <c r="B43" s="2">
        <f>IFERROR(MATCH(A43,Lines!$AC$2:$AC$500,0),"")</f>
        <v/>
      </c>
      <c r="C43" s="2">
        <f>IF(B43="","",INDEX(Lines!$B$2:$B$500,B43)&amp;"")</f>
        <v/>
      </c>
      <c r="D43" s="2">
        <f>IF(B43="","",INDEX(Lines!$C$2:$C$500,B43)&amp;"")</f>
        <v/>
      </c>
      <c r="E43" s="2">
        <f>IF(B43="","",INDEX(Lines!$D$2:$D$500,B43)&amp;"")</f>
        <v/>
      </c>
      <c r="F43" s="2">
        <f>IF(B43="","",INDEX(Lines!$E$2:$E$500,B43)&amp;"")</f>
        <v/>
      </c>
      <c r="G43" s="2">
        <f>IF(B43="","",INDEX(Lines!$G$2:$G$500,B43)&amp;"")</f>
        <v/>
      </c>
      <c r="H43" s="2">
        <f>IF(B43="","",INDEX(Lines!$H$2:$H$500,B43))</f>
        <v/>
      </c>
      <c r="I43" s="2">
        <f>IF(B43="","",INDEX(Lines!$I$2:$I$500,B43))</f>
        <v/>
      </c>
      <c r="J43" s="2">
        <f>IF(B43="","",INDEX(Lines!$J$2:$J$500,B43)&amp;"")</f>
        <v/>
      </c>
      <c r="K43" s="2">
        <f>IF(B43="","",INDEX(Lines!$K$2:$K$500,B43)&amp;"")</f>
        <v/>
      </c>
      <c r="L43" s="2">
        <f>IF(B43="","",INDEX(Lines!$O$2:$O$500,B43)&amp;"")</f>
        <v/>
      </c>
      <c r="M43" s="9">
        <f>IF(B43="","",IF(E43="quote",INDEX(Lines!$N$2:$N$500,B43),""))</f>
        <v/>
      </c>
      <c r="N43" s="9">
        <f>IF(B43="","",IF(E43="quote",IF(INDEX(Lines!$Z$2:$Z$500,B43)=0,"",INDEX(Lines!$Y$2:$Y$500,B43)),INDEX(Lines!$N$2:$N$500,B43)))</f>
        <v/>
      </c>
      <c r="O43" s="9">
        <f>IF(B43="","",N(N43)-N(M43))</f>
        <v/>
      </c>
      <c r="P43" s="2">
        <f>IF(B43="","",INDEX(Lines!$AB$2:$AB$500,B43)&amp;"")</f>
        <v/>
      </c>
      <c r="Q43" s="2">
        <f>IF(B43="","",IFERROR(INDEX(Notes!$F$62:$F$111,MATCH(F43&amp;"|"&amp;I43,Notes!$G$62:$G$111,0)),""))</f>
        <v/>
      </c>
    </row>
    <row r="44">
      <c r="A44" s="2" t="n">
        <v>43</v>
      </c>
      <c r="B44" s="2">
        <f>IFERROR(MATCH(A44,Lines!$AC$2:$AC$500,0),"")</f>
        <v/>
      </c>
      <c r="C44" s="2">
        <f>IF(B44="","",INDEX(Lines!$B$2:$B$500,B44)&amp;"")</f>
        <v/>
      </c>
      <c r="D44" s="2">
        <f>IF(B44="","",INDEX(Lines!$C$2:$C$500,B44)&amp;"")</f>
        <v/>
      </c>
      <c r="E44" s="2">
        <f>IF(B44="","",INDEX(Lines!$D$2:$D$500,B44)&amp;"")</f>
        <v/>
      </c>
      <c r="F44" s="2">
        <f>IF(B44="","",INDEX(Lines!$E$2:$E$500,B44)&amp;"")</f>
        <v/>
      </c>
      <c r="G44" s="2">
        <f>IF(B44="","",INDEX(Lines!$G$2:$G$500,B44)&amp;"")</f>
        <v/>
      </c>
      <c r="H44" s="2">
        <f>IF(B44="","",INDEX(Lines!$H$2:$H$500,B44))</f>
        <v/>
      </c>
      <c r="I44" s="2">
        <f>IF(B44="","",INDEX(Lines!$I$2:$I$500,B44))</f>
        <v/>
      </c>
      <c r="J44" s="2">
        <f>IF(B44="","",INDEX(Lines!$J$2:$J$500,B44)&amp;"")</f>
        <v/>
      </c>
      <c r="K44" s="2">
        <f>IF(B44="","",INDEX(Lines!$K$2:$K$500,B44)&amp;"")</f>
        <v/>
      </c>
      <c r="L44" s="2">
        <f>IF(B44="","",INDEX(Lines!$O$2:$O$500,B44)&amp;"")</f>
        <v/>
      </c>
      <c r="M44" s="9">
        <f>IF(B44="","",IF(E44="quote",INDEX(Lines!$N$2:$N$500,B44),""))</f>
        <v/>
      </c>
      <c r="N44" s="9">
        <f>IF(B44="","",IF(E44="quote",IF(INDEX(Lines!$Z$2:$Z$500,B44)=0,"",INDEX(Lines!$Y$2:$Y$500,B44)),INDEX(Lines!$N$2:$N$500,B44)))</f>
        <v/>
      </c>
      <c r="O44" s="9">
        <f>IF(B44="","",N(N44)-N(M44))</f>
        <v/>
      </c>
      <c r="P44" s="2">
        <f>IF(B44="","",INDEX(Lines!$AB$2:$AB$500,B44)&amp;"")</f>
        <v/>
      </c>
      <c r="Q44" s="2">
        <f>IF(B44="","",IFERROR(INDEX(Notes!$F$62:$F$111,MATCH(F44&amp;"|"&amp;I44,Notes!$G$62:$G$111,0)),""))</f>
        <v/>
      </c>
    </row>
    <row r="45">
      <c r="A45" s="2" t="n">
        <v>44</v>
      </c>
      <c r="B45" s="2">
        <f>IFERROR(MATCH(A45,Lines!$AC$2:$AC$500,0),"")</f>
        <v/>
      </c>
      <c r="C45" s="2">
        <f>IF(B45="","",INDEX(Lines!$B$2:$B$500,B45)&amp;"")</f>
        <v/>
      </c>
      <c r="D45" s="2">
        <f>IF(B45="","",INDEX(Lines!$C$2:$C$500,B45)&amp;"")</f>
        <v/>
      </c>
      <c r="E45" s="2">
        <f>IF(B45="","",INDEX(Lines!$D$2:$D$500,B45)&amp;"")</f>
        <v/>
      </c>
      <c r="F45" s="2">
        <f>IF(B45="","",INDEX(Lines!$E$2:$E$500,B45)&amp;"")</f>
        <v/>
      </c>
      <c r="G45" s="2">
        <f>IF(B45="","",INDEX(Lines!$G$2:$G$500,B45)&amp;"")</f>
        <v/>
      </c>
      <c r="H45" s="2">
        <f>IF(B45="","",INDEX(Lines!$H$2:$H$500,B45))</f>
        <v/>
      </c>
      <c r="I45" s="2">
        <f>IF(B45="","",INDEX(Lines!$I$2:$I$500,B45))</f>
        <v/>
      </c>
      <c r="J45" s="2">
        <f>IF(B45="","",INDEX(Lines!$J$2:$J$500,B45)&amp;"")</f>
        <v/>
      </c>
      <c r="K45" s="2">
        <f>IF(B45="","",INDEX(Lines!$K$2:$K$500,B45)&amp;"")</f>
        <v/>
      </c>
      <c r="L45" s="2">
        <f>IF(B45="","",INDEX(Lines!$O$2:$O$500,B45)&amp;"")</f>
        <v/>
      </c>
      <c r="M45" s="9">
        <f>IF(B45="","",IF(E45="quote",INDEX(Lines!$N$2:$N$500,B45),""))</f>
        <v/>
      </c>
      <c r="N45" s="9">
        <f>IF(B45="","",IF(E45="quote",IF(INDEX(Lines!$Z$2:$Z$500,B45)=0,"",INDEX(Lines!$Y$2:$Y$500,B45)),INDEX(Lines!$N$2:$N$500,B45)))</f>
        <v/>
      </c>
      <c r="O45" s="9">
        <f>IF(B45="","",N(N45)-N(M45))</f>
        <v/>
      </c>
      <c r="P45" s="2">
        <f>IF(B45="","",INDEX(Lines!$AB$2:$AB$500,B45)&amp;"")</f>
        <v/>
      </c>
      <c r="Q45" s="2">
        <f>IF(B45="","",IFERROR(INDEX(Notes!$F$62:$F$111,MATCH(F45&amp;"|"&amp;I45,Notes!$G$62:$G$111,0)),""))</f>
        <v/>
      </c>
    </row>
    <row r="46">
      <c r="A46" s="2" t="n">
        <v>45</v>
      </c>
      <c r="B46" s="2">
        <f>IFERROR(MATCH(A46,Lines!$AC$2:$AC$500,0),"")</f>
        <v/>
      </c>
      <c r="C46" s="2">
        <f>IF(B46="","",INDEX(Lines!$B$2:$B$500,B46)&amp;"")</f>
        <v/>
      </c>
      <c r="D46" s="2">
        <f>IF(B46="","",INDEX(Lines!$C$2:$C$500,B46)&amp;"")</f>
        <v/>
      </c>
      <c r="E46" s="2">
        <f>IF(B46="","",INDEX(Lines!$D$2:$D$500,B46)&amp;"")</f>
        <v/>
      </c>
      <c r="F46" s="2">
        <f>IF(B46="","",INDEX(Lines!$E$2:$E$500,B46)&amp;"")</f>
        <v/>
      </c>
      <c r="G46" s="2">
        <f>IF(B46="","",INDEX(Lines!$G$2:$G$500,B46)&amp;"")</f>
        <v/>
      </c>
      <c r="H46" s="2">
        <f>IF(B46="","",INDEX(Lines!$H$2:$H$500,B46))</f>
        <v/>
      </c>
      <c r="I46" s="2">
        <f>IF(B46="","",INDEX(Lines!$I$2:$I$500,B46))</f>
        <v/>
      </c>
      <c r="J46" s="2">
        <f>IF(B46="","",INDEX(Lines!$J$2:$J$500,B46)&amp;"")</f>
        <v/>
      </c>
      <c r="K46" s="2">
        <f>IF(B46="","",INDEX(Lines!$K$2:$K$500,B46)&amp;"")</f>
        <v/>
      </c>
      <c r="L46" s="2">
        <f>IF(B46="","",INDEX(Lines!$O$2:$O$500,B46)&amp;"")</f>
        <v/>
      </c>
      <c r="M46" s="9">
        <f>IF(B46="","",IF(E46="quote",INDEX(Lines!$N$2:$N$500,B46),""))</f>
        <v/>
      </c>
      <c r="N46" s="9">
        <f>IF(B46="","",IF(E46="quote",IF(INDEX(Lines!$Z$2:$Z$500,B46)=0,"",INDEX(Lines!$Y$2:$Y$500,B46)),INDEX(Lines!$N$2:$N$500,B46)))</f>
        <v/>
      </c>
      <c r="O46" s="9">
        <f>IF(B46="","",N(N46)-N(M46))</f>
        <v/>
      </c>
      <c r="P46" s="2">
        <f>IF(B46="","",INDEX(Lines!$AB$2:$AB$500,B46)&amp;"")</f>
        <v/>
      </c>
      <c r="Q46" s="2">
        <f>IF(B46="","",IFERROR(INDEX(Notes!$F$62:$F$111,MATCH(F46&amp;"|"&amp;I46,Notes!$G$62:$G$111,0)),""))</f>
        <v/>
      </c>
    </row>
    <row r="47">
      <c r="A47" s="2" t="n">
        <v>46</v>
      </c>
      <c r="B47" s="2">
        <f>IFERROR(MATCH(A47,Lines!$AC$2:$AC$500,0),"")</f>
        <v/>
      </c>
      <c r="C47" s="2">
        <f>IF(B47="","",INDEX(Lines!$B$2:$B$500,B47)&amp;"")</f>
        <v/>
      </c>
      <c r="D47" s="2">
        <f>IF(B47="","",INDEX(Lines!$C$2:$C$500,B47)&amp;"")</f>
        <v/>
      </c>
      <c r="E47" s="2">
        <f>IF(B47="","",INDEX(Lines!$D$2:$D$500,B47)&amp;"")</f>
        <v/>
      </c>
      <c r="F47" s="2">
        <f>IF(B47="","",INDEX(Lines!$E$2:$E$500,B47)&amp;"")</f>
        <v/>
      </c>
      <c r="G47" s="2">
        <f>IF(B47="","",INDEX(Lines!$G$2:$G$500,B47)&amp;"")</f>
        <v/>
      </c>
      <c r="H47" s="2">
        <f>IF(B47="","",INDEX(Lines!$H$2:$H$500,B47))</f>
        <v/>
      </c>
      <c r="I47" s="2">
        <f>IF(B47="","",INDEX(Lines!$I$2:$I$500,B47))</f>
        <v/>
      </c>
      <c r="J47" s="2">
        <f>IF(B47="","",INDEX(Lines!$J$2:$J$500,B47)&amp;"")</f>
        <v/>
      </c>
      <c r="K47" s="2">
        <f>IF(B47="","",INDEX(Lines!$K$2:$K$500,B47)&amp;"")</f>
        <v/>
      </c>
      <c r="L47" s="2">
        <f>IF(B47="","",INDEX(Lines!$O$2:$O$500,B47)&amp;"")</f>
        <v/>
      </c>
      <c r="M47" s="9">
        <f>IF(B47="","",IF(E47="quote",INDEX(Lines!$N$2:$N$500,B47),""))</f>
        <v/>
      </c>
      <c r="N47" s="9">
        <f>IF(B47="","",IF(E47="quote",IF(INDEX(Lines!$Z$2:$Z$500,B47)=0,"",INDEX(Lines!$Y$2:$Y$500,B47)),INDEX(Lines!$N$2:$N$500,B47)))</f>
        <v/>
      </c>
      <c r="O47" s="9">
        <f>IF(B47="","",N(N47)-N(M47))</f>
        <v/>
      </c>
      <c r="P47" s="2">
        <f>IF(B47="","",INDEX(Lines!$AB$2:$AB$500,B47)&amp;"")</f>
        <v/>
      </c>
      <c r="Q47" s="2">
        <f>IF(B47="","",IFERROR(INDEX(Notes!$F$62:$F$111,MATCH(F47&amp;"|"&amp;I47,Notes!$G$62:$G$111,0)),""))</f>
        <v/>
      </c>
    </row>
    <row r="48">
      <c r="A48" s="2" t="n">
        <v>47</v>
      </c>
      <c r="B48" s="2">
        <f>IFERROR(MATCH(A48,Lines!$AC$2:$AC$500,0),"")</f>
        <v/>
      </c>
      <c r="C48" s="2">
        <f>IF(B48="","",INDEX(Lines!$B$2:$B$500,B48)&amp;"")</f>
        <v/>
      </c>
      <c r="D48" s="2">
        <f>IF(B48="","",INDEX(Lines!$C$2:$C$500,B48)&amp;"")</f>
        <v/>
      </c>
      <c r="E48" s="2">
        <f>IF(B48="","",INDEX(Lines!$D$2:$D$500,B48)&amp;"")</f>
        <v/>
      </c>
      <c r="F48" s="2">
        <f>IF(B48="","",INDEX(Lines!$E$2:$E$500,B48)&amp;"")</f>
        <v/>
      </c>
      <c r="G48" s="2">
        <f>IF(B48="","",INDEX(Lines!$G$2:$G$500,B48)&amp;"")</f>
        <v/>
      </c>
      <c r="H48" s="2">
        <f>IF(B48="","",INDEX(Lines!$H$2:$H$500,B48))</f>
        <v/>
      </c>
      <c r="I48" s="2">
        <f>IF(B48="","",INDEX(Lines!$I$2:$I$500,B48))</f>
        <v/>
      </c>
      <c r="J48" s="2">
        <f>IF(B48="","",INDEX(Lines!$J$2:$J$500,B48)&amp;"")</f>
        <v/>
      </c>
      <c r="K48" s="2">
        <f>IF(B48="","",INDEX(Lines!$K$2:$K$500,B48)&amp;"")</f>
        <v/>
      </c>
      <c r="L48" s="2">
        <f>IF(B48="","",INDEX(Lines!$O$2:$O$500,B48)&amp;"")</f>
        <v/>
      </c>
      <c r="M48" s="9">
        <f>IF(B48="","",IF(E48="quote",INDEX(Lines!$N$2:$N$500,B48),""))</f>
        <v/>
      </c>
      <c r="N48" s="9">
        <f>IF(B48="","",IF(E48="quote",IF(INDEX(Lines!$Z$2:$Z$500,B48)=0,"",INDEX(Lines!$Y$2:$Y$500,B48)),INDEX(Lines!$N$2:$N$500,B48)))</f>
        <v/>
      </c>
      <c r="O48" s="9">
        <f>IF(B48="","",N(N48)-N(M48))</f>
        <v/>
      </c>
      <c r="P48" s="2">
        <f>IF(B48="","",INDEX(Lines!$AB$2:$AB$500,B48)&amp;"")</f>
        <v/>
      </c>
      <c r="Q48" s="2">
        <f>IF(B48="","",IFERROR(INDEX(Notes!$F$62:$F$111,MATCH(F48&amp;"|"&amp;I48,Notes!$G$62:$G$111,0)),""))</f>
        <v/>
      </c>
    </row>
    <row r="49">
      <c r="A49" s="2" t="n">
        <v>48</v>
      </c>
      <c r="B49" s="2">
        <f>IFERROR(MATCH(A49,Lines!$AC$2:$AC$500,0),"")</f>
        <v/>
      </c>
      <c r="C49" s="2">
        <f>IF(B49="","",INDEX(Lines!$B$2:$B$500,B49)&amp;"")</f>
        <v/>
      </c>
      <c r="D49" s="2">
        <f>IF(B49="","",INDEX(Lines!$C$2:$C$500,B49)&amp;"")</f>
        <v/>
      </c>
      <c r="E49" s="2">
        <f>IF(B49="","",INDEX(Lines!$D$2:$D$500,B49)&amp;"")</f>
        <v/>
      </c>
      <c r="F49" s="2">
        <f>IF(B49="","",INDEX(Lines!$E$2:$E$500,B49)&amp;"")</f>
        <v/>
      </c>
      <c r="G49" s="2">
        <f>IF(B49="","",INDEX(Lines!$G$2:$G$500,B49)&amp;"")</f>
        <v/>
      </c>
      <c r="H49" s="2">
        <f>IF(B49="","",INDEX(Lines!$H$2:$H$500,B49))</f>
        <v/>
      </c>
      <c r="I49" s="2">
        <f>IF(B49="","",INDEX(Lines!$I$2:$I$500,B49))</f>
        <v/>
      </c>
      <c r="J49" s="2">
        <f>IF(B49="","",INDEX(Lines!$J$2:$J$500,B49)&amp;"")</f>
        <v/>
      </c>
      <c r="K49" s="2">
        <f>IF(B49="","",INDEX(Lines!$K$2:$K$500,B49)&amp;"")</f>
        <v/>
      </c>
      <c r="L49" s="2">
        <f>IF(B49="","",INDEX(Lines!$O$2:$O$500,B49)&amp;"")</f>
        <v/>
      </c>
      <c r="M49" s="9">
        <f>IF(B49="","",IF(E49="quote",INDEX(Lines!$N$2:$N$500,B49),""))</f>
        <v/>
      </c>
      <c r="N49" s="9">
        <f>IF(B49="","",IF(E49="quote",IF(INDEX(Lines!$Z$2:$Z$500,B49)=0,"",INDEX(Lines!$Y$2:$Y$500,B49)),INDEX(Lines!$N$2:$N$500,B49)))</f>
        <v/>
      </c>
      <c r="O49" s="9">
        <f>IF(B49="","",N(N49)-N(M49))</f>
        <v/>
      </c>
      <c r="P49" s="2">
        <f>IF(B49="","",INDEX(Lines!$AB$2:$AB$500,B49)&amp;"")</f>
        <v/>
      </c>
      <c r="Q49" s="2">
        <f>IF(B49="","",IFERROR(INDEX(Notes!$F$62:$F$111,MATCH(F49&amp;"|"&amp;I49,Notes!$G$62:$G$111,0)),""))</f>
        <v/>
      </c>
    </row>
    <row r="50">
      <c r="A50" s="2" t="n">
        <v>49</v>
      </c>
      <c r="B50" s="2">
        <f>IFERROR(MATCH(A50,Lines!$AC$2:$AC$500,0),"")</f>
        <v/>
      </c>
      <c r="C50" s="2">
        <f>IF(B50="","",INDEX(Lines!$B$2:$B$500,B50)&amp;"")</f>
        <v/>
      </c>
      <c r="D50" s="2">
        <f>IF(B50="","",INDEX(Lines!$C$2:$C$500,B50)&amp;"")</f>
        <v/>
      </c>
      <c r="E50" s="2">
        <f>IF(B50="","",INDEX(Lines!$D$2:$D$500,B50)&amp;"")</f>
        <v/>
      </c>
      <c r="F50" s="2">
        <f>IF(B50="","",INDEX(Lines!$E$2:$E$500,B50)&amp;"")</f>
        <v/>
      </c>
      <c r="G50" s="2">
        <f>IF(B50="","",INDEX(Lines!$G$2:$G$500,B50)&amp;"")</f>
        <v/>
      </c>
      <c r="H50" s="2">
        <f>IF(B50="","",INDEX(Lines!$H$2:$H$500,B50))</f>
        <v/>
      </c>
      <c r="I50" s="2">
        <f>IF(B50="","",INDEX(Lines!$I$2:$I$500,B50))</f>
        <v/>
      </c>
      <c r="J50" s="2">
        <f>IF(B50="","",INDEX(Lines!$J$2:$J$500,B50)&amp;"")</f>
        <v/>
      </c>
      <c r="K50" s="2">
        <f>IF(B50="","",INDEX(Lines!$K$2:$K$500,B50)&amp;"")</f>
        <v/>
      </c>
      <c r="L50" s="2">
        <f>IF(B50="","",INDEX(Lines!$O$2:$O$500,B50)&amp;"")</f>
        <v/>
      </c>
      <c r="M50" s="9">
        <f>IF(B50="","",IF(E50="quote",INDEX(Lines!$N$2:$N$500,B50),""))</f>
        <v/>
      </c>
      <c r="N50" s="9">
        <f>IF(B50="","",IF(E50="quote",IF(INDEX(Lines!$Z$2:$Z$500,B50)=0,"",INDEX(Lines!$Y$2:$Y$500,B50)),INDEX(Lines!$N$2:$N$500,B50)))</f>
        <v/>
      </c>
      <c r="O50" s="9">
        <f>IF(B50="","",N(N50)-N(M50))</f>
        <v/>
      </c>
      <c r="P50" s="2">
        <f>IF(B50="","",INDEX(Lines!$AB$2:$AB$500,B50)&amp;"")</f>
        <v/>
      </c>
      <c r="Q50" s="2">
        <f>IF(B50="","",IFERROR(INDEX(Notes!$F$62:$F$111,MATCH(F50&amp;"|"&amp;I50,Notes!$G$62:$G$111,0)),""))</f>
        <v/>
      </c>
    </row>
    <row r="51">
      <c r="A51" s="2" t="n">
        <v>50</v>
      </c>
      <c r="B51" s="2">
        <f>IFERROR(MATCH(A51,Lines!$AC$2:$AC$500,0),"")</f>
        <v/>
      </c>
      <c r="C51" s="2">
        <f>IF(B51="","",INDEX(Lines!$B$2:$B$500,B51)&amp;"")</f>
        <v/>
      </c>
      <c r="D51" s="2">
        <f>IF(B51="","",INDEX(Lines!$C$2:$C$500,B51)&amp;"")</f>
        <v/>
      </c>
      <c r="E51" s="2">
        <f>IF(B51="","",INDEX(Lines!$D$2:$D$500,B51)&amp;"")</f>
        <v/>
      </c>
      <c r="F51" s="2">
        <f>IF(B51="","",INDEX(Lines!$E$2:$E$500,B51)&amp;"")</f>
        <v/>
      </c>
      <c r="G51" s="2">
        <f>IF(B51="","",INDEX(Lines!$G$2:$G$500,B51)&amp;"")</f>
        <v/>
      </c>
      <c r="H51" s="2">
        <f>IF(B51="","",INDEX(Lines!$H$2:$H$500,B51))</f>
        <v/>
      </c>
      <c r="I51" s="2">
        <f>IF(B51="","",INDEX(Lines!$I$2:$I$500,B51))</f>
        <v/>
      </c>
      <c r="J51" s="2">
        <f>IF(B51="","",INDEX(Lines!$J$2:$J$500,B51)&amp;"")</f>
        <v/>
      </c>
      <c r="K51" s="2">
        <f>IF(B51="","",INDEX(Lines!$K$2:$K$500,B51)&amp;"")</f>
        <v/>
      </c>
      <c r="L51" s="2">
        <f>IF(B51="","",INDEX(Lines!$O$2:$O$500,B51)&amp;"")</f>
        <v/>
      </c>
      <c r="M51" s="9">
        <f>IF(B51="","",IF(E51="quote",INDEX(Lines!$N$2:$N$500,B51),""))</f>
        <v/>
      </c>
      <c r="N51" s="9">
        <f>IF(B51="","",IF(E51="quote",IF(INDEX(Lines!$Z$2:$Z$500,B51)=0,"",INDEX(Lines!$Y$2:$Y$500,B51)),INDEX(Lines!$N$2:$N$500,B51)))</f>
        <v/>
      </c>
      <c r="O51" s="9">
        <f>IF(B51="","",N(N51)-N(M51))</f>
        <v/>
      </c>
      <c r="P51" s="2">
        <f>IF(B51="","",INDEX(Lines!$AB$2:$AB$500,B51)&amp;"")</f>
        <v/>
      </c>
      <c r="Q51" s="2">
        <f>IF(B51="","",IFERROR(INDEX(Notes!$F$62:$F$111,MATCH(F51&amp;"|"&amp;I51,Notes!$G$62:$G$111,0)),""))</f>
        <v/>
      </c>
    </row>
    <row r="52">
      <c r="A52" s="2" t="n">
        <v>51</v>
      </c>
      <c r="B52" s="2">
        <f>IFERROR(MATCH(A52,Lines!$AC$2:$AC$500,0),"")</f>
        <v/>
      </c>
      <c r="C52" s="2">
        <f>IF(B52="","",INDEX(Lines!$B$2:$B$500,B52)&amp;"")</f>
        <v/>
      </c>
      <c r="D52" s="2">
        <f>IF(B52="","",INDEX(Lines!$C$2:$C$500,B52)&amp;"")</f>
        <v/>
      </c>
      <c r="E52" s="2">
        <f>IF(B52="","",INDEX(Lines!$D$2:$D$500,B52)&amp;"")</f>
        <v/>
      </c>
      <c r="F52" s="2">
        <f>IF(B52="","",INDEX(Lines!$E$2:$E$500,B52)&amp;"")</f>
        <v/>
      </c>
      <c r="G52" s="2">
        <f>IF(B52="","",INDEX(Lines!$G$2:$G$500,B52)&amp;"")</f>
        <v/>
      </c>
      <c r="H52" s="2">
        <f>IF(B52="","",INDEX(Lines!$H$2:$H$500,B52))</f>
        <v/>
      </c>
      <c r="I52" s="2">
        <f>IF(B52="","",INDEX(Lines!$I$2:$I$500,B52))</f>
        <v/>
      </c>
      <c r="J52" s="2">
        <f>IF(B52="","",INDEX(Lines!$J$2:$J$500,B52)&amp;"")</f>
        <v/>
      </c>
      <c r="K52" s="2">
        <f>IF(B52="","",INDEX(Lines!$K$2:$K$500,B52)&amp;"")</f>
        <v/>
      </c>
      <c r="L52" s="2">
        <f>IF(B52="","",INDEX(Lines!$O$2:$O$500,B52)&amp;"")</f>
        <v/>
      </c>
      <c r="M52" s="9">
        <f>IF(B52="","",IF(E52="quote",INDEX(Lines!$N$2:$N$500,B52),""))</f>
        <v/>
      </c>
      <c r="N52" s="9">
        <f>IF(B52="","",IF(E52="quote",IF(INDEX(Lines!$Z$2:$Z$500,B52)=0,"",INDEX(Lines!$Y$2:$Y$500,B52)),INDEX(Lines!$N$2:$N$500,B52)))</f>
        <v/>
      </c>
      <c r="O52" s="9">
        <f>IF(B52="","",N(N52)-N(M52))</f>
        <v/>
      </c>
      <c r="P52" s="2">
        <f>IF(B52="","",INDEX(Lines!$AB$2:$AB$500,B52)&amp;"")</f>
        <v/>
      </c>
      <c r="Q52" s="2">
        <f>IF(B52="","",IFERROR(INDEX(Notes!$F$62:$F$111,MATCH(F52&amp;"|"&amp;I52,Notes!$G$62:$G$111,0)),""))</f>
        <v/>
      </c>
    </row>
    <row r="53">
      <c r="A53" s="2" t="n">
        <v>52</v>
      </c>
      <c r="B53" s="2">
        <f>IFERROR(MATCH(A53,Lines!$AC$2:$AC$500,0),"")</f>
        <v/>
      </c>
      <c r="C53" s="2">
        <f>IF(B53="","",INDEX(Lines!$B$2:$B$500,B53)&amp;"")</f>
        <v/>
      </c>
      <c r="D53" s="2">
        <f>IF(B53="","",INDEX(Lines!$C$2:$C$500,B53)&amp;"")</f>
        <v/>
      </c>
      <c r="E53" s="2">
        <f>IF(B53="","",INDEX(Lines!$D$2:$D$500,B53)&amp;"")</f>
        <v/>
      </c>
      <c r="F53" s="2">
        <f>IF(B53="","",INDEX(Lines!$E$2:$E$500,B53)&amp;"")</f>
        <v/>
      </c>
      <c r="G53" s="2">
        <f>IF(B53="","",INDEX(Lines!$G$2:$G$500,B53)&amp;"")</f>
        <v/>
      </c>
      <c r="H53" s="2">
        <f>IF(B53="","",INDEX(Lines!$H$2:$H$500,B53))</f>
        <v/>
      </c>
      <c r="I53" s="2">
        <f>IF(B53="","",INDEX(Lines!$I$2:$I$500,B53))</f>
        <v/>
      </c>
      <c r="J53" s="2">
        <f>IF(B53="","",INDEX(Lines!$J$2:$J$500,B53)&amp;"")</f>
        <v/>
      </c>
      <c r="K53" s="2">
        <f>IF(B53="","",INDEX(Lines!$K$2:$K$500,B53)&amp;"")</f>
        <v/>
      </c>
      <c r="L53" s="2">
        <f>IF(B53="","",INDEX(Lines!$O$2:$O$500,B53)&amp;"")</f>
        <v/>
      </c>
      <c r="M53" s="9">
        <f>IF(B53="","",IF(E53="quote",INDEX(Lines!$N$2:$N$500,B53),""))</f>
        <v/>
      </c>
      <c r="N53" s="9">
        <f>IF(B53="","",IF(E53="quote",IF(INDEX(Lines!$Z$2:$Z$500,B53)=0,"",INDEX(Lines!$Y$2:$Y$500,B53)),INDEX(Lines!$N$2:$N$500,B53)))</f>
        <v/>
      </c>
      <c r="O53" s="9">
        <f>IF(B53="","",N(N53)-N(M53))</f>
        <v/>
      </c>
      <c r="P53" s="2">
        <f>IF(B53="","",INDEX(Lines!$AB$2:$AB$500,B53)&amp;"")</f>
        <v/>
      </c>
      <c r="Q53" s="2">
        <f>IF(B53="","",IFERROR(INDEX(Notes!$F$62:$F$111,MATCH(F53&amp;"|"&amp;I53,Notes!$G$62:$G$111,0)),""))</f>
        <v/>
      </c>
    </row>
    <row r="54">
      <c r="A54" s="2" t="n">
        <v>53</v>
      </c>
      <c r="B54" s="2">
        <f>IFERROR(MATCH(A54,Lines!$AC$2:$AC$500,0),"")</f>
        <v/>
      </c>
      <c r="C54" s="2">
        <f>IF(B54="","",INDEX(Lines!$B$2:$B$500,B54)&amp;"")</f>
        <v/>
      </c>
      <c r="D54" s="2">
        <f>IF(B54="","",INDEX(Lines!$C$2:$C$500,B54)&amp;"")</f>
        <v/>
      </c>
      <c r="E54" s="2">
        <f>IF(B54="","",INDEX(Lines!$D$2:$D$500,B54)&amp;"")</f>
        <v/>
      </c>
      <c r="F54" s="2">
        <f>IF(B54="","",INDEX(Lines!$E$2:$E$500,B54)&amp;"")</f>
        <v/>
      </c>
      <c r="G54" s="2">
        <f>IF(B54="","",INDEX(Lines!$G$2:$G$500,B54)&amp;"")</f>
        <v/>
      </c>
      <c r="H54" s="2">
        <f>IF(B54="","",INDEX(Lines!$H$2:$H$500,B54))</f>
        <v/>
      </c>
      <c r="I54" s="2">
        <f>IF(B54="","",INDEX(Lines!$I$2:$I$500,B54))</f>
        <v/>
      </c>
      <c r="J54" s="2">
        <f>IF(B54="","",INDEX(Lines!$J$2:$J$500,B54)&amp;"")</f>
        <v/>
      </c>
      <c r="K54" s="2">
        <f>IF(B54="","",INDEX(Lines!$K$2:$K$500,B54)&amp;"")</f>
        <v/>
      </c>
      <c r="L54" s="2">
        <f>IF(B54="","",INDEX(Lines!$O$2:$O$500,B54)&amp;"")</f>
        <v/>
      </c>
      <c r="M54" s="9">
        <f>IF(B54="","",IF(E54="quote",INDEX(Lines!$N$2:$N$500,B54),""))</f>
        <v/>
      </c>
      <c r="N54" s="9">
        <f>IF(B54="","",IF(E54="quote",IF(INDEX(Lines!$Z$2:$Z$500,B54)=0,"",INDEX(Lines!$Y$2:$Y$500,B54)),INDEX(Lines!$N$2:$N$500,B54)))</f>
        <v/>
      </c>
      <c r="O54" s="9">
        <f>IF(B54="","",N(N54)-N(M54))</f>
        <v/>
      </c>
      <c r="P54" s="2">
        <f>IF(B54="","",INDEX(Lines!$AB$2:$AB$500,B54)&amp;"")</f>
        <v/>
      </c>
      <c r="Q54" s="2">
        <f>IF(B54="","",IFERROR(INDEX(Notes!$F$62:$F$111,MATCH(F54&amp;"|"&amp;I54,Notes!$G$62:$G$111,0)),""))</f>
        <v/>
      </c>
    </row>
    <row r="55">
      <c r="A55" s="2" t="n">
        <v>54</v>
      </c>
      <c r="B55" s="2">
        <f>IFERROR(MATCH(A55,Lines!$AC$2:$AC$500,0),"")</f>
        <v/>
      </c>
      <c r="C55" s="2">
        <f>IF(B55="","",INDEX(Lines!$B$2:$B$500,B55)&amp;"")</f>
        <v/>
      </c>
      <c r="D55" s="2">
        <f>IF(B55="","",INDEX(Lines!$C$2:$C$500,B55)&amp;"")</f>
        <v/>
      </c>
      <c r="E55" s="2">
        <f>IF(B55="","",INDEX(Lines!$D$2:$D$500,B55)&amp;"")</f>
        <v/>
      </c>
      <c r="F55" s="2">
        <f>IF(B55="","",INDEX(Lines!$E$2:$E$500,B55)&amp;"")</f>
        <v/>
      </c>
      <c r="G55" s="2">
        <f>IF(B55="","",INDEX(Lines!$G$2:$G$500,B55)&amp;"")</f>
        <v/>
      </c>
      <c r="H55" s="2">
        <f>IF(B55="","",INDEX(Lines!$H$2:$H$500,B55))</f>
        <v/>
      </c>
      <c r="I55" s="2">
        <f>IF(B55="","",INDEX(Lines!$I$2:$I$500,B55))</f>
        <v/>
      </c>
      <c r="J55" s="2">
        <f>IF(B55="","",INDEX(Lines!$J$2:$J$500,B55)&amp;"")</f>
        <v/>
      </c>
      <c r="K55" s="2">
        <f>IF(B55="","",INDEX(Lines!$K$2:$K$500,B55)&amp;"")</f>
        <v/>
      </c>
      <c r="L55" s="2">
        <f>IF(B55="","",INDEX(Lines!$O$2:$O$500,B55)&amp;"")</f>
        <v/>
      </c>
      <c r="M55" s="9">
        <f>IF(B55="","",IF(E55="quote",INDEX(Lines!$N$2:$N$500,B55),""))</f>
        <v/>
      </c>
      <c r="N55" s="9">
        <f>IF(B55="","",IF(E55="quote",IF(INDEX(Lines!$Z$2:$Z$500,B55)=0,"",INDEX(Lines!$Y$2:$Y$500,B55)),INDEX(Lines!$N$2:$N$500,B55)))</f>
        <v/>
      </c>
      <c r="O55" s="9">
        <f>IF(B55="","",N(N55)-N(M55))</f>
        <v/>
      </c>
      <c r="P55" s="2">
        <f>IF(B55="","",INDEX(Lines!$AB$2:$AB$500,B55)&amp;"")</f>
        <v/>
      </c>
      <c r="Q55" s="2">
        <f>IF(B55="","",IFERROR(INDEX(Notes!$F$62:$F$111,MATCH(F55&amp;"|"&amp;I55,Notes!$G$62:$G$111,0)),""))</f>
        <v/>
      </c>
    </row>
    <row r="56">
      <c r="A56" s="2" t="n">
        <v>55</v>
      </c>
      <c r="B56" s="2">
        <f>IFERROR(MATCH(A56,Lines!$AC$2:$AC$500,0),"")</f>
        <v/>
      </c>
      <c r="C56" s="2">
        <f>IF(B56="","",INDEX(Lines!$B$2:$B$500,B56)&amp;"")</f>
        <v/>
      </c>
      <c r="D56" s="2">
        <f>IF(B56="","",INDEX(Lines!$C$2:$C$500,B56)&amp;"")</f>
        <v/>
      </c>
      <c r="E56" s="2">
        <f>IF(B56="","",INDEX(Lines!$D$2:$D$500,B56)&amp;"")</f>
        <v/>
      </c>
      <c r="F56" s="2">
        <f>IF(B56="","",INDEX(Lines!$E$2:$E$500,B56)&amp;"")</f>
        <v/>
      </c>
      <c r="G56" s="2">
        <f>IF(B56="","",INDEX(Lines!$G$2:$G$500,B56)&amp;"")</f>
        <v/>
      </c>
      <c r="H56" s="2">
        <f>IF(B56="","",INDEX(Lines!$H$2:$H$500,B56))</f>
        <v/>
      </c>
      <c r="I56" s="2">
        <f>IF(B56="","",INDEX(Lines!$I$2:$I$500,B56))</f>
        <v/>
      </c>
      <c r="J56" s="2">
        <f>IF(B56="","",INDEX(Lines!$J$2:$J$500,B56)&amp;"")</f>
        <v/>
      </c>
      <c r="K56" s="2">
        <f>IF(B56="","",INDEX(Lines!$K$2:$K$500,B56)&amp;"")</f>
        <v/>
      </c>
      <c r="L56" s="2">
        <f>IF(B56="","",INDEX(Lines!$O$2:$O$500,B56)&amp;"")</f>
        <v/>
      </c>
      <c r="M56" s="9">
        <f>IF(B56="","",IF(E56="quote",INDEX(Lines!$N$2:$N$500,B56),""))</f>
        <v/>
      </c>
      <c r="N56" s="9">
        <f>IF(B56="","",IF(E56="quote",IF(INDEX(Lines!$Z$2:$Z$500,B56)=0,"",INDEX(Lines!$Y$2:$Y$500,B56)),INDEX(Lines!$N$2:$N$500,B56)))</f>
        <v/>
      </c>
      <c r="O56" s="9">
        <f>IF(B56="","",N(N56)-N(M56))</f>
        <v/>
      </c>
      <c r="P56" s="2">
        <f>IF(B56="","",INDEX(Lines!$AB$2:$AB$500,B56)&amp;"")</f>
        <v/>
      </c>
      <c r="Q56" s="2">
        <f>IF(B56="","",IFERROR(INDEX(Notes!$F$62:$F$111,MATCH(F56&amp;"|"&amp;I56,Notes!$G$62:$G$111,0)),""))</f>
        <v/>
      </c>
    </row>
    <row r="57">
      <c r="A57" s="2" t="n">
        <v>56</v>
      </c>
      <c r="B57" s="2">
        <f>IFERROR(MATCH(A57,Lines!$AC$2:$AC$500,0),"")</f>
        <v/>
      </c>
      <c r="C57" s="2">
        <f>IF(B57="","",INDEX(Lines!$B$2:$B$500,B57)&amp;"")</f>
        <v/>
      </c>
      <c r="D57" s="2">
        <f>IF(B57="","",INDEX(Lines!$C$2:$C$500,B57)&amp;"")</f>
        <v/>
      </c>
      <c r="E57" s="2">
        <f>IF(B57="","",INDEX(Lines!$D$2:$D$500,B57)&amp;"")</f>
        <v/>
      </c>
      <c r="F57" s="2">
        <f>IF(B57="","",INDEX(Lines!$E$2:$E$500,B57)&amp;"")</f>
        <v/>
      </c>
      <c r="G57" s="2">
        <f>IF(B57="","",INDEX(Lines!$G$2:$G$500,B57)&amp;"")</f>
        <v/>
      </c>
      <c r="H57" s="2">
        <f>IF(B57="","",INDEX(Lines!$H$2:$H$500,B57))</f>
        <v/>
      </c>
      <c r="I57" s="2">
        <f>IF(B57="","",INDEX(Lines!$I$2:$I$500,B57))</f>
        <v/>
      </c>
      <c r="J57" s="2">
        <f>IF(B57="","",INDEX(Lines!$J$2:$J$500,B57)&amp;"")</f>
        <v/>
      </c>
      <c r="K57" s="2">
        <f>IF(B57="","",INDEX(Lines!$K$2:$K$500,B57)&amp;"")</f>
        <v/>
      </c>
      <c r="L57" s="2">
        <f>IF(B57="","",INDEX(Lines!$O$2:$O$500,B57)&amp;"")</f>
        <v/>
      </c>
      <c r="M57" s="9">
        <f>IF(B57="","",IF(E57="quote",INDEX(Lines!$N$2:$N$500,B57),""))</f>
        <v/>
      </c>
      <c r="N57" s="9">
        <f>IF(B57="","",IF(E57="quote",IF(INDEX(Lines!$Z$2:$Z$500,B57)=0,"",INDEX(Lines!$Y$2:$Y$500,B57)),INDEX(Lines!$N$2:$N$500,B57)))</f>
        <v/>
      </c>
      <c r="O57" s="9">
        <f>IF(B57="","",N(N57)-N(M57))</f>
        <v/>
      </c>
      <c r="P57" s="2">
        <f>IF(B57="","",INDEX(Lines!$AB$2:$AB$500,B57)&amp;"")</f>
        <v/>
      </c>
      <c r="Q57" s="2">
        <f>IF(B57="","",IFERROR(INDEX(Notes!$F$62:$F$111,MATCH(F57&amp;"|"&amp;I57,Notes!$G$62:$G$111,0)),""))</f>
        <v/>
      </c>
    </row>
    <row r="58">
      <c r="A58" s="2" t="n">
        <v>57</v>
      </c>
      <c r="B58" s="2">
        <f>IFERROR(MATCH(A58,Lines!$AC$2:$AC$500,0),"")</f>
        <v/>
      </c>
      <c r="C58" s="2">
        <f>IF(B58="","",INDEX(Lines!$B$2:$B$500,B58)&amp;"")</f>
        <v/>
      </c>
      <c r="D58" s="2">
        <f>IF(B58="","",INDEX(Lines!$C$2:$C$500,B58)&amp;"")</f>
        <v/>
      </c>
      <c r="E58" s="2">
        <f>IF(B58="","",INDEX(Lines!$D$2:$D$500,B58)&amp;"")</f>
        <v/>
      </c>
      <c r="F58" s="2">
        <f>IF(B58="","",INDEX(Lines!$E$2:$E$500,B58)&amp;"")</f>
        <v/>
      </c>
      <c r="G58" s="2">
        <f>IF(B58="","",INDEX(Lines!$G$2:$G$500,B58)&amp;"")</f>
        <v/>
      </c>
      <c r="H58" s="2">
        <f>IF(B58="","",INDEX(Lines!$H$2:$H$500,B58))</f>
        <v/>
      </c>
      <c r="I58" s="2">
        <f>IF(B58="","",INDEX(Lines!$I$2:$I$500,B58))</f>
        <v/>
      </c>
      <c r="J58" s="2">
        <f>IF(B58="","",INDEX(Lines!$J$2:$J$500,B58)&amp;"")</f>
        <v/>
      </c>
      <c r="K58" s="2">
        <f>IF(B58="","",INDEX(Lines!$K$2:$K$500,B58)&amp;"")</f>
        <v/>
      </c>
      <c r="L58" s="2">
        <f>IF(B58="","",INDEX(Lines!$O$2:$O$500,B58)&amp;"")</f>
        <v/>
      </c>
      <c r="M58" s="9">
        <f>IF(B58="","",IF(E58="quote",INDEX(Lines!$N$2:$N$500,B58),""))</f>
        <v/>
      </c>
      <c r="N58" s="9">
        <f>IF(B58="","",IF(E58="quote",IF(INDEX(Lines!$Z$2:$Z$500,B58)=0,"",INDEX(Lines!$Y$2:$Y$500,B58)),INDEX(Lines!$N$2:$N$500,B58)))</f>
        <v/>
      </c>
      <c r="O58" s="9">
        <f>IF(B58="","",N(N58)-N(M58))</f>
        <v/>
      </c>
      <c r="P58" s="2">
        <f>IF(B58="","",INDEX(Lines!$AB$2:$AB$500,B58)&amp;"")</f>
        <v/>
      </c>
      <c r="Q58" s="2">
        <f>IF(B58="","",IFERROR(INDEX(Notes!$F$62:$F$111,MATCH(F58&amp;"|"&amp;I58,Notes!$G$62:$G$111,0)),""))</f>
        <v/>
      </c>
    </row>
    <row r="59">
      <c r="A59" s="2" t="n">
        <v>58</v>
      </c>
      <c r="B59" s="2">
        <f>IFERROR(MATCH(A59,Lines!$AC$2:$AC$500,0),"")</f>
        <v/>
      </c>
      <c r="C59" s="2">
        <f>IF(B59="","",INDEX(Lines!$B$2:$B$500,B59)&amp;"")</f>
        <v/>
      </c>
      <c r="D59" s="2">
        <f>IF(B59="","",INDEX(Lines!$C$2:$C$500,B59)&amp;"")</f>
        <v/>
      </c>
      <c r="E59" s="2">
        <f>IF(B59="","",INDEX(Lines!$D$2:$D$500,B59)&amp;"")</f>
        <v/>
      </c>
      <c r="F59" s="2">
        <f>IF(B59="","",INDEX(Lines!$E$2:$E$500,B59)&amp;"")</f>
        <v/>
      </c>
      <c r="G59" s="2">
        <f>IF(B59="","",INDEX(Lines!$G$2:$G$500,B59)&amp;"")</f>
        <v/>
      </c>
      <c r="H59" s="2">
        <f>IF(B59="","",INDEX(Lines!$H$2:$H$500,B59))</f>
        <v/>
      </c>
      <c r="I59" s="2">
        <f>IF(B59="","",INDEX(Lines!$I$2:$I$500,B59))</f>
        <v/>
      </c>
      <c r="J59" s="2">
        <f>IF(B59="","",INDEX(Lines!$J$2:$J$500,B59)&amp;"")</f>
        <v/>
      </c>
      <c r="K59" s="2">
        <f>IF(B59="","",INDEX(Lines!$K$2:$K$500,B59)&amp;"")</f>
        <v/>
      </c>
      <c r="L59" s="2">
        <f>IF(B59="","",INDEX(Lines!$O$2:$O$500,B59)&amp;"")</f>
        <v/>
      </c>
      <c r="M59" s="9">
        <f>IF(B59="","",IF(E59="quote",INDEX(Lines!$N$2:$N$500,B59),""))</f>
        <v/>
      </c>
      <c r="N59" s="9">
        <f>IF(B59="","",IF(E59="quote",IF(INDEX(Lines!$Z$2:$Z$500,B59)=0,"",INDEX(Lines!$Y$2:$Y$500,B59)),INDEX(Lines!$N$2:$N$500,B59)))</f>
        <v/>
      </c>
      <c r="O59" s="9">
        <f>IF(B59="","",N(N59)-N(M59))</f>
        <v/>
      </c>
      <c r="P59" s="2">
        <f>IF(B59="","",INDEX(Lines!$AB$2:$AB$500,B59)&amp;"")</f>
        <v/>
      </c>
      <c r="Q59" s="2">
        <f>IF(B59="","",IFERROR(INDEX(Notes!$F$62:$F$111,MATCH(F59&amp;"|"&amp;I59,Notes!$G$62:$G$111,0)),""))</f>
        <v/>
      </c>
    </row>
    <row r="60">
      <c r="A60" s="2" t="n">
        <v>59</v>
      </c>
      <c r="B60" s="2">
        <f>IFERROR(MATCH(A60,Lines!$AC$2:$AC$500,0),"")</f>
        <v/>
      </c>
      <c r="C60" s="2">
        <f>IF(B60="","",INDEX(Lines!$B$2:$B$500,B60)&amp;"")</f>
        <v/>
      </c>
      <c r="D60" s="2">
        <f>IF(B60="","",INDEX(Lines!$C$2:$C$500,B60)&amp;"")</f>
        <v/>
      </c>
      <c r="E60" s="2">
        <f>IF(B60="","",INDEX(Lines!$D$2:$D$500,B60)&amp;"")</f>
        <v/>
      </c>
      <c r="F60" s="2">
        <f>IF(B60="","",INDEX(Lines!$E$2:$E$500,B60)&amp;"")</f>
        <v/>
      </c>
      <c r="G60" s="2">
        <f>IF(B60="","",INDEX(Lines!$G$2:$G$500,B60)&amp;"")</f>
        <v/>
      </c>
      <c r="H60" s="2">
        <f>IF(B60="","",INDEX(Lines!$H$2:$H$500,B60))</f>
        <v/>
      </c>
      <c r="I60" s="2">
        <f>IF(B60="","",INDEX(Lines!$I$2:$I$500,B60))</f>
        <v/>
      </c>
      <c r="J60" s="2">
        <f>IF(B60="","",INDEX(Lines!$J$2:$J$500,B60)&amp;"")</f>
        <v/>
      </c>
      <c r="K60" s="2">
        <f>IF(B60="","",INDEX(Lines!$K$2:$K$500,B60)&amp;"")</f>
        <v/>
      </c>
      <c r="L60" s="2">
        <f>IF(B60="","",INDEX(Lines!$O$2:$O$500,B60)&amp;"")</f>
        <v/>
      </c>
      <c r="M60" s="9">
        <f>IF(B60="","",IF(E60="quote",INDEX(Lines!$N$2:$N$500,B60),""))</f>
        <v/>
      </c>
      <c r="N60" s="9">
        <f>IF(B60="","",IF(E60="quote",IF(INDEX(Lines!$Z$2:$Z$500,B60)=0,"",INDEX(Lines!$Y$2:$Y$500,B60)),INDEX(Lines!$N$2:$N$500,B60)))</f>
        <v/>
      </c>
      <c r="O60" s="9">
        <f>IF(B60="","",N(N60)-N(M60))</f>
        <v/>
      </c>
      <c r="P60" s="2">
        <f>IF(B60="","",INDEX(Lines!$AB$2:$AB$500,B60)&amp;"")</f>
        <v/>
      </c>
      <c r="Q60" s="2">
        <f>IF(B60="","",IFERROR(INDEX(Notes!$F$62:$F$111,MATCH(F60&amp;"|"&amp;I60,Notes!$G$62:$G$111,0)),""))</f>
        <v/>
      </c>
    </row>
    <row r="61">
      <c r="A61" s="2" t="n">
        <v>60</v>
      </c>
      <c r="B61" s="2">
        <f>IFERROR(MATCH(A61,Lines!$AC$2:$AC$500,0),"")</f>
        <v/>
      </c>
      <c r="C61" s="2">
        <f>IF(B61="","",INDEX(Lines!$B$2:$B$500,B61)&amp;"")</f>
        <v/>
      </c>
      <c r="D61" s="2">
        <f>IF(B61="","",INDEX(Lines!$C$2:$C$500,B61)&amp;"")</f>
        <v/>
      </c>
      <c r="E61" s="2">
        <f>IF(B61="","",INDEX(Lines!$D$2:$D$500,B61)&amp;"")</f>
        <v/>
      </c>
      <c r="F61" s="2">
        <f>IF(B61="","",INDEX(Lines!$E$2:$E$500,B61)&amp;"")</f>
        <v/>
      </c>
      <c r="G61" s="2">
        <f>IF(B61="","",INDEX(Lines!$G$2:$G$500,B61)&amp;"")</f>
        <v/>
      </c>
      <c r="H61" s="2">
        <f>IF(B61="","",INDEX(Lines!$H$2:$H$500,B61))</f>
        <v/>
      </c>
      <c r="I61" s="2">
        <f>IF(B61="","",INDEX(Lines!$I$2:$I$500,B61))</f>
        <v/>
      </c>
      <c r="J61" s="2">
        <f>IF(B61="","",INDEX(Lines!$J$2:$J$500,B61)&amp;"")</f>
        <v/>
      </c>
      <c r="K61" s="2">
        <f>IF(B61="","",INDEX(Lines!$K$2:$K$500,B61)&amp;"")</f>
        <v/>
      </c>
      <c r="L61" s="2">
        <f>IF(B61="","",INDEX(Lines!$O$2:$O$500,B61)&amp;"")</f>
        <v/>
      </c>
      <c r="M61" s="9">
        <f>IF(B61="","",IF(E61="quote",INDEX(Lines!$N$2:$N$500,B61),""))</f>
        <v/>
      </c>
      <c r="N61" s="9">
        <f>IF(B61="","",IF(E61="quote",IF(INDEX(Lines!$Z$2:$Z$500,B61)=0,"",INDEX(Lines!$Y$2:$Y$500,B61)),INDEX(Lines!$N$2:$N$500,B61)))</f>
        <v/>
      </c>
      <c r="O61" s="9">
        <f>IF(B61="","",N(N61)-N(M61))</f>
        <v/>
      </c>
      <c r="P61" s="2">
        <f>IF(B61="","",INDEX(Lines!$AB$2:$AB$500,B61)&amp;"")</f>
        <v/>
      </c>
      <c r="Q61" s="2">
        <f>IF(B61="","",IFERROR(INDEX(Notes!$F$62:$F$111,MATCH(F61&amp;"|"&amp;I61,Notes!$G$62:$G$111,0)),""))</f>
        <v/>
      </c>
    </row>
    <row r="62">
      <c r="A62" s="2" t="n">
        <v>61</v>
      </c>
      <c r="B62" s="2">
        <f>IFERROR(MATCH(A62,Lines!$AC$2:$AC$500,0),"")</f>
        <v/>
      </c>
      <c r="C62" s="2">
        <f>IF(B62="","",INDEX(Lines!$B$2:$B$500,B62)&amp;"")</f>
        <v/>
      </c>
      <c r="D62" s="2">
        <f>IF(B62="","",INDEX(Lines!$C$2:$C$500,B62)&amp;"")</f>
        <v/>
      </c>
      <c r="E62" s="2">
        <f>IF(B62="","",INDEX(Lines!$D$2:$D$500,B62)&amp;"")</f>
        <v/>
      </c>
      <c r="F62" s="2">
        <f>IF(B62="","",INDEX(Lines!$E$2:$E$500,B62)&amp;"")</f>
        <v/>
      </c>
      <c r="G62" s="2">
        <f>IF(B62="","",INDEX(Lines!$G$2:$G$500,B62)&amp;"")</f>
        <v/>
      </c>
      <c r="H62" s="2">
        <f>IF(B62="","",INDEX(Lines!$H$2:$H$500,B62))</f>
        <v/>
      </c>
      <c r="I62" s="2">
        <f>IF(B62="","",INDEX(Lines!$I$2:$I$500,B62))</f>
        <v/>
      </c>
      <c r="J62" s="2">
        <f>IF(B62="","",INDEX(Lines!$J$2:$J$500,B62)&amp;"")</f>
        <v/>
      </c>
      <c r="K62" s="2">
        <f>IF(B62="","",INDEX(Lines!$K$2:$K$500,B62)&amp;"")</f>
        <v/>
      </c>
      <c r="L62" s="2">
        <f>IF(B62="","",INDEX(Lines!$O$2:$O$500,B62)&amp;"")</f>
        <v/>
      </c>
      <c r="M62" s="9">
        <f>IF(B62="","",IF(E62="quote",INDEX(Lines!$N$2:$N$500,B62),""))</f>
        <v/>
      </c>
      <c r="N62" s="9">
        <f>IF(B62="","",IF(E62="quote",IF(INDEX(Lines!$Z$2:$Z$500,B62)=0,"",INDEX(Lines!$Y$2:$Y$500,B62)),INDEX(Lines!$N$2:$N$500,B62)))</f>
        <v/>
      </c>
      <c r="O62" s="9">
        <f>IF(B62="","",N(N62)-N(M62))</f>
        <v/>
      </c>
      <c r="P62" s="2">
        <f>IF(B62="","",INDEX(Lines!$AB$2:$AB$500,B62)&amp;"")</f>
        <v/>
      </c>
      <c r="Q62" s="2">
        <f>IF(B62="","",IFERROR(INDEX(Notes!$F$62:$F$111,MATCH(F62&amp;"|"&amp;I62,Notes!$G$62:$G$111,0)),""))</f>
        <v/>
      </c>
    </row>
    <row r="63">
      <c r="A63" s="2" t="n">
        <v>62</v>
      </c>
      <c r="B63" s="2">
        <f>IFERROR(MATCH(A63,Lines!$AC$2:$AC$500,0),"")</f>
        <v/>
      </c>
      <c r="C63" s="2">
        <f>IF(B63="","",INDEX(Lines!$B$2:$B$500,B63)&amp;"")</f>
        <v/>
      </c>
      <c r="D63" s="2">
        <f>IF(B63="","",INDEX(Lines!$C$2:$C$500,B63)&amp;"")</f>
        <v/>
      </c>
      <c r="E63" s="2">
        <f>IF(B63="","",INDEX(Lines!$D$2:$D$500,B63)&amp;"")</f>
        <v/>
      </c>
      <c r="F63" s="2">
        <f>IF(B63="","",INDEX(Lines!$E$2:$E$500,B63)&amp;"")</f>
        <v/>
      </c>
      <c r="G63" s="2">
        <f>IF(B63="","",INDEX(Lines!$G$2:$G$500,B63)&amp;"")</f>
        <v/>
      </c>
      <c r="H63" s="2">
        <f>IF(B63="","",INDEX(Lines!$H$2:$H$500,B63))</f>
        <v/>
      </c>
      <c r="I63" s="2">
        <f>IF(B63="","",INDEX(Lines!$I$2:$I$500,B63))</f>
        <v/>
      </c>
      <c r="J63" s="2">
        <f>IF(B63="","",INDEX(Lines!$J$2:$J$500,B63)&amp;"")</f>
        <v/>
      </c>
      <c r="K63" s="2">
        <f>IF(B63="","",INDEX(Lines!$K$2:$K$500,B63)&amp;"")</f>
        <v/>
      </c>
      <c r="L63" s="2">
        <f>IF(B63="","",INDEX(Lines!$O$2:$O$500,B63)&amp;"")</f>
        <v/>
      </c>
      <c r="M63" s="9">
        <f>IF(B63="","",IF(E63="quote",INDEX(Lines!$N$2:$N$500,B63),""))</f>
        <v/>
      </c>
      <c r="N63" s="9">
        <f>IF(B63="","",IF(E63="quote",IF(INDEX(Lines!$Z$2:$Z$500,B63)=0,"",INDEX(Lines!$Y$2:$Y$500,B63)),INDEX(Lines!$N$2:$N$500,B63)))</f>
        <v/>
      </c>
      <c r="O63" s="9">
        <f>IF(B63="","",N(N63)-N(M63))</f>
        <v/>
      </c>
      <c r="P63" s="2">
        <f>IF(B63="","",INDEX(Lines!$AB$2:$AB$500,B63)&amp;"")</f>
        <v/>
      </c>
      <c r="Q63" s="2">
        <f>IF(B63="","",IFERROR(INDEX(Notes!$F$62:$F$111,MATCH(F63&amp;"|"&amp;I63,Notes!$G$62:$G$111,0)),""))</f>
        <v/>
      </c>
    </row>
    <row r="64">
      <c r="A64" s="2" t="n">
        <v>63</v>
      </c>
      <c r="B64" s="2">
        <f>IFERROR(MATCH(A64,Lines!$AC$2:$AC$500,0),"")</f>
        <v/>
      </c>
      <c r="C64" s="2">
        <f>IF(B64="","",INDEX(Lines!$B$2:$B$500,B64)&amp;"")</f>
        <v/>
      </c>
      <c r="D64" s="2">
        <f>IF(B64="","",INDEX(Lines!$C$2:$C$500,B64)&amp;"")</f>
        <v/>
      </c>
      <c r="E64" s="2">
        <f>IF(B64="","",INDEX(Lines!$D$2:$D$500,B64)&amp;"")</f>
        <v/>
      </c>
      <c r="F64" s="2">
        <f>IF(B64="","",INDEX(Lines!$E$2:$E$500,B64)&amp;"")</f>
        <v/>
      </c>
      <c r="G64" s="2">
        <f>IF(B64="","",INDEX(Lines!$G$2:$G$500,B64)&amp;"")</f>
        <v/>
      </c>
      <c r="H64" s="2">
        <f>IF(B64="","",INDEX(Lines!$H$2:$H$500,B64))</f>
        <v/>
      </c>
      <c r="I64" s="2">
        <f>IF(B64="","",INDEX(Lines!$I$2:$I$500,B64))</f>
        <v/>
      </c>
      <c r="J64" s="2">
        <f>IF(B64="","",INDEX(Lines!$J$2:$J$500,B64)&amp;"")</f>
        <v/>
      </c>
      <c r="K64" s="2">
        <f>IF(B64="","",INDEX(Lines!$K$2:$K$500,B64)&amp;"")</f>
        <v/>
      </c>
      <c r="L64" s="2">
        <f>IF(B64="","",INDEX(Lines!$O$2:$O$500,B64)&amp;"")</f>
        <v/>
      </c>
      <c r="M64" s="9">
        <f>IF(B64="","",IF(E64="quote",INDEX(Lines!$N$2:$N$500,B64),""))</f>
        <v/>
      </c>
      <c r="N64" s="9">
        <f>IF(B64="","",IF(E64="quote",IF(INDEX(Lines!$Z$2:$Z$500,B64)=0,"",INDEX(Lines!$Y$2:$Y$500,B64)),INDEX(Lines!$N$2:$N$500,B64)))</f>
        <v/>
      </c>
      <c r="O64" s="9">
        <f>IF(B64="","",N(N64)-N(M64))</f>
        <v/>
      </c>
      <c r="P64" s="2">
        <f>IF(B64="","",INDEX(Lines!$AB$2:$AB$500,B64)&amp;"")</f>
        <v/>
      </c>
      <c r="Q64" s="2">
        <f>IF(B64="","",IFERROR(INDEX(Notes!$F$62:$F$111,MATCH(F64&amp;"|"&amp;I64,Notes!$G$62:$G$111,0)),""))</f>
        <v/>
      </c>
    </row>
    <row r="65">
      <c r="A65" s="2" t="n">
        <v>64</v>
      </c>
      <c r="B65" s="2">
        <f>IFERROR(MATCH(A65,Lines!$AC$2:$AC$500,0),"")</f>
        <v/>
      </c>
      <c r="C65" s="2">
        <f>IF(B65="","",INDEX(Lines!$B$2:$B$500,B65)&amp;"")</f>
        <v/>
      </c>
      <c r="D65" s="2">
        <f>IF(B65="","",INDEX(Lines!$C$2:$C$500,B65)&amp;"")</f>
        <v/>
      </c>
      <c r="E65" s="2">
        <f>IF(B65="","",INDEX(Lines!$D$2:$D$500,B65)&amp;"")</f>
        <v/>
      </c>
      <c r="F65" s="2">
        <f>IF(B65="","",INDEX(Lines!$E$2:$E$500,B65)&amp;"")</f>
        <v/>
      </c>
      <c r="G65" s="2">
        <f>IF(B65="","",INDEX(Lines!$G$2:$G$500,B65)&amp;"")</f>
        <v/>
      </c>
      <c r="H65" s="2">
        <f>IF(B65="","",INDEX(Lines!$H$2:$H$500,B65))</f>
        <v/>
      </c>
      <c r="I65" s="2">
        <f>IF(B65="","",INDEX(Lines!$I$2:$I$500,B65))</f>
        <v/>
      </c>
      <c r="J65" s="2">
        <f>IF(B65="","",INDEX(Lines!$J$2:$J$500,B65)&amp;"")</f>
        <v/>
      </c>
      <c r="K65" s="2">
        <f>IF(B65="","",INDEX(Lines!$K$2:$K$500,B65)&amp;"")</f>
        <v/>
      </c>
      <c r="L65" s="2">
        <f>IF(B65="","",INDEX(Lines!$O$2:$O$500,B65)&amp;"")</f>
        <v/>
      </c>
      <c r="M65" s="9">
        <f>IF(B65="","",IF(E65="quote",INDEX(Lines!$N$2:$N$500,B65),""))</f>
        <v/>
      </c>
      <c r="N65" s="9">
        <f>IF(B65="","",IF(E65="quote",IF(INDEX(Lines!$Z$2:$Z$500,B65)=0,"",INDEX(Lines!$Y$2:$Y$500,B65)),INDEX(Lines!$N$2:$N$500,B65)))</f>
        <v/>
      </c>
      <c r="O65" s="9">
        <f>IF(B65="","",N(N65)-N(M65))</f>
        <v/>
      </c>
      <c r="P65" s="2">
        <f>IF(B65="","",INDEX(Lines!$AB$2:$AB$500,B65)&amp;"")</f>
        <v/>
      </c>
      <c r="Q65" s="2">
        <f>IF(B65="","",IFERROR(INDEX(Notes!$F$62:$F$111,MATCH(F65&amp;"|"&amp;I65,Notes!$G$62:$G$111,0)),""))</f>
        <v/>
      </c>
    </row>
    <row r="66">
      <c r="A66" s="2" t="n">
        <v>65</v>
      </c>
      <c r="B66" s="2">
        <f>IFERROR(MATCH(A66,Lines!$AC$2:$AC$500,0),"")</f>
        <v/>
      </c>
      <c r="C66" s="2">
        <f>IF(B66="","",INDEX(Lines!$B$2:$B$500,B66)&amp;"")</f>
        <v/>
      </c>
      <c r="D66" s="2">
        <f>IF(B66="","",INDEX(Lines!$C$2:$C$500,B66)&amp;"")</f>
        <v/>
      </c>
      <c r="E66" s="2">
        <f>IF(B66="","",INDEX(Lines!$D$2:$D$500,B66)&amp;"")</f>
        <v/>
      </c>
      <c r="F66" s="2">
        <f>IF(B66="","",INDEX(Lines!$E$2:$E$500,B66)&amp;"")</f>
        <v/>
      </c>
      <c r="G66" s="2">
        <f>IF(B66="","",INDEX(Lines!$G$2:$G$500,B66)&amp;"")</f>
        <v/>
      </c>
      <c r="H66" s="2">
        <f>IF(B66="","",INDEX(Lines!$H$2:$H$500,B66))</f>
        <v/>
      </c>
      <c r="I66" s="2">
        <f>IF(B66="","",INDEX(Lines!$I$2:$I$500,B66))</f>
        <v/>
      </c>
      <c r="J66" s="2">
        <f>IF(B66="","",INDEX(Lines!$J$2:$J$500,B66)&amp;"")</f>
        <v/>
      </c>
      <c r="K66" s="2">
        <f>IF(B66="","",INDEX(Lines!$K$2:$K$500,B66)&amp;"")</f>
        <v/>
      </c>
      <c r="L66" s="2">
        <f>IF(B66="","",INDEX(Lines!$O$2:$O$500,B66)&amp;"")</f>
        <v/>
      </c>
      <c r="M66" s="9">
        <f>IF(B66="","",IF(E66="quote",INDEX(Lines!$N$2:$N$500,B66),""))</f>
        <v/>
      </c>
      <c r="N66" s="9">
        <f>IF(B66="","",IF(E66="quote",IF(INDEX(Lines!$Z$2:$Z$500,B66)=0,"",INDEX(Lines!$Y$2:$Y$500,B66)),INDEX(Lines!$N$2:$N$500,B66)))</f>
        <v/>
      </c>
      <c r="O66" s="9">
        <f>IF(B66="","",N(N66)-N(M66))</f>
        <v/>
      </c>
      <c r="P66" s="2">
        <f>IF(B66="","",INDEX(Lines!$AB$2:$AB$500,B66)&amp;"")</f>
        <v/>
      </c>
      <c r="Q66" s="2">
        <f>IF(B66="","",IFERROR(INDEX(Notes!$F$62:$F$111,MATCH(F66&amp;"|"&amp;I66,Notes!$G$62:$G$111,0)),""))</f>
        <v/>
      </c>
    </row>
    <row r="67">
      <c r="A67" s="2" t="n">
        <v>66</v>
      </c>
      <c r="B67" s="2">
        <f>IFERROR(MATCH(A67,Lines!$AC$2:$AC$500,0),"")</f>
        <v/>
      </c>
      <c r="C67" s="2">
        <f>IF(B67="","",INDEX(Lines!$B$2:$B$500,B67)&amp;"")</f>
        <v/>
      </c>
      <c r="D67" s="2">
        <f>IF(B67="","",INDEX(Lines!$C$2:$C$500,B67)&amp;"")</f>
        <v/>
      </c>
      <c r="E67" s="2">
        <f>IF(B67="","",INDEX(Lines!$D$2:$D$500,B67)&amp;"")</f>
        <v/>
      </c>
      <c r="F67" s="2">
        <f>IF(B67="","",INDEX(Lines!$E$2:$E$500,B67)&amp;"")</f>
        <v/>
      </c>
      <c r="G67" s="2">
        <f>IF(B67="","",INDEX(Lines!$G$2:$G$500,B67)&amp;"")</f>
        <v/>
      </c>
      <c r="H67" s="2">
        <f>IF(B67="","",INDEX(Lines!$H$2:$H$500,B67))</f>
        <v/>
      </c>
      <c r="I67" s="2">
        <f>IF(B67="","",INDEX(Lines!$I$2:$I$500,B67))</f>
        <v/>
      </c>
      <c r="J67" s="2">
        <f>IF(B67="","",INDEX(Lines!$J$2:$J$500,B67)&amp;"")</f>
        <v/>
      </c>
      <c r="K67" s="2">
        <f>IF(B67="","",INDEX(Lines!$K$2:$K$500,B67)&amp;"")</f>
        <v/>
      </c>
      <c r="L67" s="2">
        <f>IF(B67="","",INDEX(Lines!$O$2:$O$500,B67)&amp;"")</f>
        <v/>
      </c>
      <c r="M67" s="9">
        <f>IF(B67="","",IF(E67="quote",INDEX(Lines!$N$2:$N$500,B67),""))</f>
        <v/>
      </c>
      <c r="N67" s="9">
        <f>IF(B67="","",IF(E67="quote",IF(INDEX(Lines!$Z$2:$Z$500,B67)=0,"",INDEX(Lines!$Y$2:$Y$500,B67)),INDEX(Lines!$N$2:$N$500,B67)))</f>
        <v/>
      </c>
      <c r="O67" s="9">
        <f>IF(B67="","",N(N67)-N(M67))</f>
        <v/>
      </c>
      <c r="P67" s="2">
        <f>IF(B67="","",INDEX(Lines!$AB$2:$AB$500,B67)&amp;"")</f>
        <v/>
      </c>
      <c r="Q67" s="2">
        <f>IF(B67="","",IFERROR(INDEX(Notes!$F$62:$F$111,MATCH(F67&amp;"|"&amp;I67,Notes!$G$62:$G$111,0)),""))</f>
        <v/>
      </c>
    </row>
    <row r="68">
      <c r="A68" s="2" t="n">
        <v>67</v>
      </c>
      <c r="B68" s="2">
        <f>IFERROR(MATCH(A68,Lines!$AC$2:$AC$500,0),"")</f>
        <v/>
      </c>
      <c r="C68" s="2">
        <f>IF(B68="","",INDEX(Lines!$B$2:$B$500,B68)&amp;"")</f>
        <v/>
      </c>
      <c r="D68" s="2">
        <f>IF(B68="","",INDEX(Lines!$C$2:$C$500,B68)&amp;"")</f>
        <v/>
      </c>
      <c r="E68" s="2">
        <f>IF(B68="","",INDEX(Lines!$D$2:$D$500,B68)&amp;"")</f>
        <v/>
      </c>
      <c r="F68" s="2">
        <f>IF(B68="","",INDEX(Lines!$E$2:$E$500,B68)&amp;"")</f>
        <v/>
      </c>
      <c r="G68" s="2">
        <f>IF(B68="","",INDEX(Lines!$G$2:$G$500,B68)&amp;"")</f>
        <v/>
      </c>
      <c r="H68" s="2">
        <f>IF(B68="","",INDEX(Lines!$H$2:$H$500,B68))</f>
        <v/>
      </c>
      <c r="I68" s="2">
        <f>IF(B68="","",INDEX(Lines!$I$2:$I$500,B68))</f>
        <v/>
      </c>
      <c r="J68" s="2">
        <f>IF(B68="","",INDEX(Lines!$J$2:$J$500,B68)&amp;"")</f>
        <v/>
      </c>
      <c r="K68" s="2">
        <f>IF(B68="","",INDEX(Lines!$K$2:$K$500,B68)&amp;"")</f>
        <v/>
      </c>
      <c r="L68" s="2">
        <f>IF(B68="","",INDEX(Lines!$O$2:$O$500,B68)&amp;"")</f>
        <v/>
      </c>
      <c r="M68" s="9">
        <f>IF(B68="","",IF(E68="quote",INDEX(Lines!$N$2:$N$500,B68),""))</f>
        <v/>
      </c>
      <c r="N68" s="9">
        <f>IF(B68="","",IF(E68="quote",IF(INDEX(Lines!$Z$2:$Z$500,B68)=0,"",INDEX(Lines!$Y$2:$Y$500,B68)),INDEX(Lines!$N$2:$N$500,B68)))</f>
        <v/>
      </c>
      <c r="O68" s="9">
        <f>IF(B68="","",N(N68)-N(M68))</f>
        <v/>
      </c>
      <c r="P68" s="2">
        <f>IF(B68="","",INDEX(Lines!$AB$2:$AB$500,B68)&amp;"")</f>
        <v/>
      </c>
      <c r="Q68" s="2">
        <f>IF(B68="","",IFERROR(INDEX(Notes!$F$62:$F$111,MATCH(F68&amp;"|"&amp;I68,Notes!$G$62:$G$111,0)),""))</f>
        <v/>
      </c>
    </row>
    <row r="69">
      <c r="A69" s="2" t="n">
        <v>68</v>
      </c>
      <c r="B69" s="2">
        <f>IFERROR(MATCH(A69,Lines!$AC$2:$AC$500,0),"")</f>
        <v/>
      </c>
      <c r="C69" s="2">
        <f>IF(B69="","",INDEX(Lines!$B$2:$B$500,B69)&amp;"")</f>
        <v/>
      </c>
      <c r="D69" s="2">
        <f>IF(B69="","",INDEX(Lines!$C$2:$C$500,B69)&amp;"")</f>
        <v/>
      </c>
      <c r="E69" s="2">
        <f>IF(B69="","",INDEX(Lines!$D$2:$D$500,B69)&amp;"")</f>
        <v/>
      </c>
      <c r="F69" s="2">
        <f>IF(B69="","",INDEX(Lines!$E$2:$E$500,B69)&amp;"")</f>
        <v/>
      </c>
      <c r="G69" s="2">
        <f>IF(B69="","",INDEX(Lines!$G$2:$G$500,B69)&amp;"")</f>
        <v/>
      </c>
      <c r="H69" s="2">
        <f>IF(B69="","",INDEX(Lines!$H$2:$H$500,B69))</f>
        <v/>
      </c>
      <c r="I69" s="2">
        <f>IF(B69="","",INDEX(Lines!$I$2:$I$500,B69))</f>
        <v/>
      </c>
      <c r="J69" s="2">
        <f>IF(B69="","",INDEX(Lines!$J$2:$J$500,B69)&amp;"")</f>
        <v/>
      </c>
      <c r="K69" s="2">
        <f>IF(B69="","",INDEX(Lines!$K$2:$K$500,B69)&amp;"")</f>
        <v/>
      </c>
      <c r="L69" s="2">
        <f>IF(B69="","",INDEX(Lines!$O$2:$O$500,B69)&amp;"")</f>
        <v/>
      </c>
      <c r="M69" s="9">
        <f>IF(B69="","",IF(E69="quote",INDEX(Lines!$N$2:$N$500,B69),""))</f>
        <v/>
      </c>
      <c r="N69" s="9">
        <f>IF(B69="","",IF(E69="quote",IF(INDEX(Lines!$Z$2:$Z$500,B69)=0,"",INDEX(Lines!$Y$2:$Y$500,B69)),INDEX(Lines!$N$2:$N$500,B69)))</f>
        <v/>
      </c>
      <c r="O69" s="9">
        <f>IF(B69="","",N(N69)-N(M69))</f>
        <v/>
      </c>
      <c r="P69" s="2">
        <f>IF(B69="","",INDEX(Lines!$AB$2:$AB$500,B69)&amp;"")</f>
        <v/>
      </c>
      <c r="Q69" s="2">
        <f>IF(B69="","",IFERROR(INDEX(Notes!$F$62:$F$111,MATCH(F69&amp;"|"&amp;I69,Notes!$G$62:$G$111,0)),""))</f>
        <v/>
      </c>
    </row>
    <row r="70">
      <c r="A70" s="2" t="n">
        <v>69</v>
      </c>
      <c r="B70" s="2">
        <f>IFERROR(MATCH(A70,Lines!$AC$2:$AC$500,0),"")</f>
        <v/>
      </c>
      <c r="C70" s="2">
        <f>IF(B70="","",INDEX(Lines!$B$2:$B$500,B70)&amp;"")</f>
        <v/>
      </c>
      <c r="D70" s="2">
        <f>IF(B70="","",INDEX(Lines!$C$2:$C$500,B70)&amp;"")</f>
        <v/>
      </c>
      <c r="E70" s="2">
        <f>IF(B70="","",INDEX(Lines!$D$2:$D$500,B70)&amp;"")</f>
        <v/>
      </c>
      <c r="F70" s="2">
        <f>IF(B70="","",INDEX(Lines!$E$2:$E$500,B70)&amp;"")</f>
        <v/>
      </c>
      <c r="G70" s="2">
        <f>IF(B70="","",INDEX(Lines!$G$2:$G$500,B70)&amp;"")</f>
        <v/>
      </c>
      <c r="H70" s="2">
        <f>IF(B70="","",INDEX(Lines!$H$2:$H$500,B70))</f>
        <v/>
      </c>
      <c r="I70" s="2">
        <f>IF(B70="","",INDEX(Lines!$I$2:$I$500,B70))</f>
        <v/>
      </c>
      <c r="J70" s="2">
        <f>IF(B70="","",INDEX(Lines!$J$2:$J$500,B70)&amp;"")</f>
        <v/>
      </c>
      <c r="K70" s="2">
        <f>IF(B70="","",INDEX(Lines!$K$2:$K$500,B70)&amp;"")</f>
        <v/>
      </c>
      <c r="L70" s="2">
        <f>IF(B70="","",INDEX(Lines!$O$2:$O$500,B70)&amp;"")</f>
        <v/>
      </c>
      <c r="M70" s="9">
        <f>IF(B70="","",IF(E70="quote",INDEX(Lines!$N$2:$N$500,B70),""))</f>
        <v/>
      </c>
      <c r="N70" s="9">
        <f>IF(B70="","",IF(E70="quote",IF(INDEX(Lines!$Z$2:$Z$500,B70)=0,"",INDEX(Lines!$Y$2:$Y$500,B70)),INDEX(Lines!$N$2:$N$500,B70)))</f>
        <v/>
      </c>
      <c r="O70" s="9">
        <f>IF(B70="","",N(N70)-N(M70))</f>
        <v/>
      </c>
      <c r="P70" s="2">
        <f>IF(B70="","",INDEX(Lines!$AB$2:$AB$500,B70)&amp;"")</f>
        <v/>
      </c>
      <c r="Q70" s="2">
        <f>IF(B70="","",IFERROR(INDEX(Notes!$F$62:$F$111,MATCH(F70&amp;"|"&amp;I70,Notes!$G$62:$G$111,0)),""))</f>
        <v/>
      </c>
    </row>
    <row r="71">
      <c r="A71" s="2" t="n">
        <v>70</v>
      </c>
      <c r="B71" s="2">
        <f>IFERROR(MATCH(A71,Lines!$AC$2:$AC$500,0),"")</f>
        <v/>
      </c>
      <c r="C71" s="2">
        <f>IF(B71="","",INDEX(Lines!$B$2:$B$500,B71)&amp;"")</f>
        <v/>
      </c>
      <c r="D71" s="2">
        <f>IF(B71="","",INDEX(Lines!$C$2:$C$500,B71)&amp;"")</f>
        <v/>
      </c>
      <c r="E71" s="2">
        <f>IF(B71="","",INDEX(Lines!$D$2:$D$500,B71)&amp;"")</f>
        <v/>
      </c>
      <c r="F71" s="2">
        <f>IF(B71="","",INDEX(Lines!$E$2:$E$500,B71)&amp;"")</f>
        <v/>
      </c>
      <c r="G71" s="2">
        <f>IF(B71="","",INDEX(Lines!$G$2:$G$500,B71)&amp;"")</f>
        <v/>
      </c>
      <c r="H71" s="2">
        <f>IF(B71="","",INDEX(Lines!$H$2:$H$500,B71))</f>
        <v/>
      </c>
      <c r="I71" s="2">
        <f>IF(B71="","",INDEX(Lines!$I$2:$I$500,B71))</f>
        <v/>
      </c>
      <c r="J71" s="2">
        <f>IF(B71="","",INDEX(Lines!$J$2:$J$500,B71)&amp;"")</f>
        <v/>
      </c>
      <c r="K71" s="2">
        <f>IF(B71="","",INDEX(Lines!$K$2:$K$500,B71)&amp;"")</f>
        <v/>
      </c>
      <c r="L71" s="2">
        <f>IF(B71="","",INDEX(Lines!$O$2:$O$500,B71)&amp;"")</f>
        <v/>
      </c>
      <c r="M71" s="9">
        <f>IF(B71="","",IF(E71="quote",INDEX(Lines!$N$2:$N$500,B71),""))</f>
        <v/>
      </c>
      <c r="N71" s="9">
        <f>IF(B71="","",IF(E71="quote",IF(INDEX(Lines!$Z$2:$Z$500,B71)=0,"",INDEX(Lines!$Y$2:$Y$500,B71)),INDEX(Lines!$N$2:$N$500,B71)))</f>
        <v/>
      </c>
      <c r="O71" s="9">
        <f>IF(B71="","",N(N71)-N(M71))</f>
        <v/>
      </c>
      <c r="P71" s="2">
        <f>IF(B71="","",INDEX(Lines!$AB$2:$AB$500,B71)&amp;"")</f>
        <v/>
      </c>
      <c r="Q71" s="2">
        <f>IF(B71="","",IFERROR(INDEX(Notes!$F$62:$F$111,MATCH(F71&amp;"|"&amp;I71,Notes!$G$62:$G$111,0)),""))</f>
        <v/>
      </c>
    </row>
    <row r="72">
      <c r="A72" s="2" t="n">
        <v>71</v>
      </c>
      <c r="B72" s="2">
        <f>IFERROR(MATCH(A72,Lines!$AC$2:$AC$500,0),"")</f>
        <v/>
      </c>
      <c r="C72" s="2">
        <f>IF(B72="","",INDEX(Lines!$B$2:$B$500,B72)&amp;"")</f>
        <v/>
      </c>
      <c r="D72" s="2">
        <f>IF(B72="","",INDEX(Lines!$C$2:$C$500,B72)&amp;"")</f>
        <v/>
      </c>
      <c r="E72" s="2">
        <f>IF(B72="","",INDEX(Lines!$D$2:$D$500,B72)&amp;"")</f>
        <v/>
      </c>
      <c r="F72" s="2">
        <f>IF(B72="","",INDEX(Lines!$E$2:$E$500,B72)&amp;"")</f>
        <v/>
      </c>
      <c r="G72" s="2">
        <f>IF(B72="","",INDEX(Lines!$G$2:$G$500,B72)&amp;"")</f>
        <v/>
      </c>
      <c r="H72" s="2">
        <f>IF(B72="","",INDEX(Lines!$H$2:$H$500,B72))</f>
        <v/>
      </c>
      <c r="I72" s="2">
        <f>IF(B72="","",INDEX(Lines!$I$2:$I$500,B72))</f>
        <v/>
      </c>
      <c r="J72" s="2">
        <f>IF(B72="","",INDEX(Lines!$J$2:$J$500,B72)&amp;"")</f>
        <v/>
      </c>
      <c r="K72" s="2">
        <f>IF(B72="","",INDEX(Lines!$K$2:$K$500,B72)&amp;"")</f>
        <v/>
      </c>
      <c r="L72" s="2">
        <f>IF(B72="","",INDEX(Lines!$O$2:$O$500,B72)&amp;"")</f>
        <v/>
      </c>
      <c r="M72" s="9">
        <f>IF(B72="","",IF(E72="quote",INDEX(Lines!$N$2:$N$500,B72),""))</f>
        <v/>
      </c>
      <c r="N72" s="9">
        <f>IF(B72="","",IF(E72="quote",IF(INDEX(Lines!$Z$2:$Z$500,B72)=0,"",INDEX(Lines!$Y$2:$Y$500,B72)),INDEX(Lines!$N$2:$N$500,B72)))</f>
        <v/>
      </c>
      <c r="O72" s="9">
        <f>IF(B72="","",N(N72)-N(M72))</f>
        <v/>
      </c>
      <c r="P72" s="2">
        <f>IF(B72="","",INDEX(Lines!$AB$2:$AB$500,B72)&amp;"")</f>
        <v/>
      </c>
      <c r="Q72" s="2">
        <f>IF(B72="","",IFERROR(INDEX(Notes!$F$62:$F$111,MATCH(F72&amp;"|"&amp;I72,Notes!$G$62:$G$111,0)),""))</f>
        <v/>
      </c>
    </row>
    <row r="73">
      <c r="A73" s="2" t="n">
        <v>72</v>
      </c>
      <c r="B73" s="2">
        <f>IFERROR(MATCH(A73,Lines!$AC$2:$AC$500,0),"")</f>
        <v/>
      </c>
      <c r="C73" s="2">
        <f>IF(B73="","",INDEX(Lines!$B$2:$B$500,B73)&amp;"")</f>
        <v/>
      </c>
      <c r="D73" s="2">
        <f>IF(B73="","",INDEX(Lines!$C$2:$C$500,B73)&amp;"")</f>
        <v/>
      </c>
      <c r="E73" s="2">
        <f>IF(B73="","",INDEX(Lines!$D$2:$D$500,B73)&amp;"")</f>
        <v/>
      </c>
      <c r="F73" s="2">
        <f>IF(B73="","",INDEX(Lines!$E$2:$E$500,B73)&amp;"")</f>
        <v/>
      </c>
      <c r="G73" s="2">
        <f>IF(B73="","",INDEX(Lines!$G$2:$G$500,B73)&amp;"")</f>
        <v/>
      </c>
      <c r="H73" s="2">
        <f>IF(B73="","",INDEX(Lines!$H$2:$H$500,B73))</f>
        <v/>
      </c>
      <c r="I73" s="2">
        <f>IF(B73="","",INDEX(Lines!$I$2:$I$500,B73))</f>
        <v/>
      </c>
      <c r="J73" s="2">
        <f>IF(B73="","",INDEX(Lines!$J$2:$J$500,B73)&amp;"")</f>
        <v/>
      </c>
      <c r="K73" s="2">
        <f>IF(B73="","",INDEX(Lines!$K$2:$K$500,B73)&amp;"")</f>
        <v/>
      </c>
      <c r="L73" s="2">
        <f>IF(B73="","",INDEX(Lines!$O$2:$O$500,B73)&amp;"")</f>
        <v/>
      </c>
      <c r="M73" s="9">
        <f>IF(B73="","",IF(E73="quote",INDEX(Lines!$N$2:$N$500,B73),""))</f>
        <v/>
      </c>
      <c r="N73" s="9">
        <f>IF(B73="","",IF(E73="quote",IF(INDEX(Lines!$Z$2:$Z$500,B73)=0,"",INDEX(Lines!$Y$2:$Y$500,B73)),INDEX(Lines!$N$2:$N$500,B73)))</f>
        <v/>
      </c>
      <c r="O73" s="9">
        <f>IF(B73="","",N(N73)-N(M73))</f>
        <v/>
      </c>
      <c r="P73" s="2">
        <f>IF(B73="","",INDEX(Lines!$AB$2:$AB$500,B73)&amp;"")</f>
        <v/>
      </c>
      <c r="Q73" s="2">
        <f>IF(B73="","",IFERROR(INDEX(Notes!$F$62:$F$111,MATCH(F73&amp;"|"&amp;I73,Notes!$G$62:$G$111,0)),""))</f>
        <v/>
      </c>
    </row>
    <row r="74">
      <c r="A74" s="2" t="n">
        <v>73</v>
      </c>
      <c r="B74" s="2">
        <f>IFERROR(MATCH(A74,Lines!$AC$2:$AC$500,0),"")</f>
        <v/>
      </c>
      <c r="C74" s="2">
        <f>IF(B74="","",INDEX(Lines!$B$2:$B$500,B74)&amp;"")</f>
        <v/>
      </c>
      <c r="D74" s="2">
        <f>IF(B74="","",INDEX(Lines!$C$2:$C$500,B74)&amp;"")</f>
        <v/>
      </c>
      <c r="E74" s="2">
        <f>IF(B74="","",INDEX(Lines!$D$2:$D$500,B74)&amp;"")</f>
        <v/>
      </c>
      <c r="F74" s="2">
        <f>IF(B74="","",INDEX(Lines!$E$2:$E$500,B74)&amp;"")</f>
        <v/>
      </c>
      <c r="G74" s="2">
        <f>IF(B74="","",INDEX(Lines!$G$2:$G$500,B74)&amp;"")</f>
        <v/>
      </c>
      <c r="H74" s="2">
        <f>IF(B74="","",INDEX(Lines!$H$2:$H$500,B74))</f>
        <v/>
      </c>
      <c r="I74" s="2">
        <f>IF(B74="","",INDEX(Lines!$I$2:$I$500,B74))</f>
        <v/>
      </c>
      <c r="J74" s="2">
        <f>IF(B74="","",INDEX(Lines!$J$2:$J$500,B74)&amp;"")</f>
        <v/>
      </c>
      <c r="K74" s="2">
        <f>IF(B74="","",INDEX(Lines!$K$2:$K$500,B74)&amp;"")</f>
        <v/>
      </c>
      <c r="L74" s="2">
        <f>IF(B74="","",INDEX(Lines!$O$2:$O$500,B74)&amp;"")</f>
        <v/>
      </c>
      <c r="M74" s="9">
        <f>IF(B74="","",IF(E74="quote",INDEX(Lines!$N$2:$N$500,B74),""))</f>
        <v/>
      </c>
      <c r="N74" s="9">
        <f>IF(B74="","",IF(E74="quote",IF(INDEX(Lines!$Z$2:$Z$500,B74)=0,"",INDEX(Lines!$Y$2:$Y$500,B74)),INDEX(Lines!$N$2:$N$500,B74)))</f>
        <v/>
      </c>
      <c r="O74" s="9">
        <f>IF(B74="","",N(N74)-N(M74))</f>
        <v/>
      </c>
      <c r="P74" s="2">
        <f>IF(B74="","",INDEX(Lines!$AB$2:$AB$500,B74)&amp;"")</f>
        <v/>
      </c>
      <c r="Q74" s="2">
        <f>IF(B74="","",IFERROR(INDEX(Notes!$F$62:$F$111,MATCH(F74&amp;"|"&amp;I74,Notes!$G$62:$G$111,0)),""))</f>
        <v/>
      </c>
    </row>
    <row r="75">
      <c r="A75" s="2" t="n">
        <v>74</v>
      </c>
      <c r="B75" s="2">
        <f>IFERROR(MATCH(A75,Lines!$AC$2:$AC$500,0),"")</f>
        <v/>
      </c>
      <c r="C75" s="2">
        <f>IF(B75="","",INDEX(Lines!$B$2:$B$500,B75)&amp;"")</f>
        <v/>
      </c>
      <c r="D75" s="2">
        <f>IF(B75="","",INDEX(Lines!$C$2:$C$500,B75)&amp;"")</f>
        <v/>
      </c>
      <c r="E75" s="2">
        <f>IF(B75="","",INDEX(Lines!$D$2:$D$500,B75)&amp;"")</f>
        <v/>
      </c>
      <c r="F75" s="2">
        <f>IF(B75="","",INDEX(Lines!$E$2:$E$500,B75)&amp;"")</f>
        <v/>
      </c>
      <c r="G75" s="2">
        <f>IF(B75="","",INDEX(Lines!$G$2:$G$500,B75)&amp;"")</f>
        <v/>
      </c>
      <c r="H75" s="2">
        <f>IF(B75="","",INDEX(Lines!$H$2:$H$500,B75))</f>
        <v/>
      </c>
      <c r="I75" s="2">
        <f>IF(B75="","",INDEX(Lines!$I$2:$I$500,B75))</f>
        <v/>
      </c>
      <c r="J75" s="2">
        <f>IF(B75="","",INDEX(Lines!$J$2:$J$500,B75)&amp;"")</f>
        <v/>
      </c>
      <c r="K75" s="2">
        <f>IF(B75="","",INDEX(Lines!$K$2:$K$500,B75)&amp;"")</f>
        <v/>
      </c>
      <c r="L75" s="2">
        <f>IF(B75="","",INDEX(Lines!$O$2:$O$500,B75)&amp;"")</f>
        <v/>
      </c>
      <c r="M75" s="9">
        <f>IF(B75="","",IF(E75="quote",INDEX(Lines!$N$2:$N$500,B75),""))</f>
        <v/>
      </c>
      <c r="N75" s="9">
        <f>IF(B75="","",IF(E75="quote",IF(INDEX(Lines!$Z$2:$Z$500,B75)=0,"",INDEX(Lines!$Y$2:$Y$500,B75)),INDEX(Lines!$N$2:$N$500,B75)))</f>
        <v/>
      </c>
      <c r="O75" s="9">
        <f>IF(B75="","",N(N75)-N(M75))</f>
        <v/>
      </c>
      <c r="P75" s="2">
        <f>IF(B75="","",INDEX(Lines!$AB$2:$AB$500,B75)&amp;"")</f>
        <v/>
      </c>
      <c r="Q75" s="2">
        <f>IF(B75="","",IFERROR(INDEX(Notes!$F$62:$F$111,MATCH(F75&amp;"|"&amp;I75,Notes!$G$62:$G$111,0)),""))</f>
        <v/>
      </c>
    </row>
    <row r="76">
      <c r="A76" s="2" t="n">
        <v>75</v>
      </c>
      <c r="B76" s="2">
        <f>IFERROR(MATCH(A76,Lines!$AC$2:$AC$500,0),"")</f>
        <v/>
      </c>
      <c r="C76" s="2">
        <f>IF(B76="","",INDEX(Lines!$B$2:$B$500,B76)&amp;"")</f>
        <v/>
      </c>
      <c r="D76" s="2">
        <f>IF(B76="","",INDEX(Lines!$C$2:$C$500,B76)&amp;"")</f>
        <v/>
      </c>
      <c r="E76" s="2">
        <f>IF(B76="","",INDEX(Lines!$D$2:$D$500,B76)&amp;"")</f>
        <v/>
      </c>
      <c r="F76" s="2">
        <f>IF(B76="","",INDEX(Lines!$E$2:$E$500,B76)&amp;"")</f>
        <v/>
      </c>
      <c r="G76" s="2">
        <f>IF(B76="","",INDEX(Lines!$G$2:$G$500,B76)&amp;"")</f>
        <v/>
      </c>
      <c r="H76" s="2">
        <f>IF(B76="","",INDEX(Lines!$H$2:$H$500,B76))</f>
        <v/>
      </c>
      <c r="I76" s="2">
        <f>IF(B76="","",INDEX(Lines!$I$2:$I$500,B76))</f>
        <v/>
      </c>
      <c r="J76" s="2">
        <f>IF(B76="","",INDEX(Lines!$J$2:$J$500,B76)&amp;"")</f>
        <v/>
      </c>
      <c r="K76" s="2">
        <f>IF(B76="","",INDEX(Lines!$K$2:$K$500,B76)&amp;"")</f>
        <v/>
      </c>
      <c r="L76" s="2">
        <f>IF(B76="","",INDEX(Lines!$O$2:$O$500,B76)&amp;"")</f>
        <v/>
      </c>
      <c r="M76" s="9">
        <f>IF(B76="","",IF(E76="quote",INDEX(Lines!$N$2:$N$500,B76),""))</f>
        <v/>
      </c>
      <c r="N76" s="9">
        <f>IF(B76="","",IF(E76="quote",IF(INDEX(Lines!$Z$2:$Z$500,B76)=0,"",INDEX(Lines!$Y$2:$Y$500,B76)),INDEX(Lines!$N$2:$N$500,B76)))</f>
        <v/>
      </c>
      <c r="O76" s="9">
        <f>IF(B76="","",N(N76)-N(M76))</f>
        <v/>
      </c>
      <c r="P76" s="2">
        <f>IF(B76="","",INDEX(Lines!$AB$2:$AB$500,B76)&amp;"")</f>
        <v/>
      </c>
      <c r="Q76" s="2">
        <f>IF(B76="","",IFERROR(INDEX(Notes!$F$62:$F$111,MATCH(F76&amp;"|"&amp;I76,Notes!$G$62:$G$111,0)),""))</f>
        <v/>
      </c>
    </row>
    <row r="77">
      <c r="A77" s="2" t="n">
        <v>76</v>
      </c>
      <c r="B77" s="2">
        <f>IFERROR(MATCH(A77,Lines!$AC$2:$AC$500,0),"")</f>
        <v/>
      </c>
      <c r="C77" s="2">
        <f>IF(B77="","",INDEX(Lines!$B$2:$B$500,B77)&amp;"")</f>
        <v/>
      </c>
      <c r="D77" s="2">
        <f>IF(B77="","",INDEX(Lines!$C$2:$C$500,B77)&amp;"")</f>
        <v/>
      </c>
      <c r="E77" s="2">
        <f>IF(B77="","",INDEX(Lines!$D$2:$D$500,B77)&amp;"")</f>
        <v/>
      </c>
      <c r="F77" s="2">
        <f>IF(B77="","",INDEX(Lines!$E$2:$E$500,B77)&amp;"")</f>
        <v/>
      </c>
      <c r="G77" s="2">
        <f>IF(B77="","",INDEX(Lines!$G$2:$G$500,B77)&amp;"")</f>
        <v/>
      </c>
      <c r="H77" s="2">
        <f>IF(B77="","",INDEX(Lines!$H$2:$H$500,B77))</f>
        <v/>
      </c>
      <c r="I77" s="2">
        <f>IF(B77="","",INDEX(Lines!$I$2:$I$500,B77))</f>
        <v/>
      </c>
      <c r="J77" s="2">
        <f>IF(B77="","",INDEX(Lines!$J$2:$J$500,B77)&amp;"")</f>
        <v/>
      </c>
      <c r="K77" s="2">
        <f>IF(B77="","",INDEX(Lines!$K$2:$K$500,B77)&amp;"")</f>
        <v/>
      </c>
      <c r="L77" s="2">
        <f>IF(B77="","",INDEX(Lines!$O$2:$O$500,B77)&amp;"")</f>
        <v/>
      </c>
      <c r="M77" s="9">
        <f>IF(B77="","",IF(E77="quote",INDEX(Lines!$N$2:$N$500,B77),""))</f>
        <v/>
      </c>
      <c r="N77" s="9">
        <f>IF(B77="","",IF(E77="quote",IF(INDEX(Lines!$Z$2:$Z$500,B77)=0,"",INDEX(Lines!$Y$2:$Y$500,B77)),INDEX(Lines!$N$2:$N$500,B77)))</f>
        <v/>
      </c>
      <c r="O77" s="9">
        <f>IF(B77="","",N(N77)-N(M77))</f>
        <v/>
      </c>
      <c r="P77" s="2">
        <f>IF(B77="","",INDEX(Lines!$AB$2:$AB$500,B77)&amp;"")</f>
        <v/>
      </c>
      <c r="Q77" s="2">
        <f>IF(B77="","",IFERROR(INDEX(Notes!$F$62:$F$111,MATCH(F77&amp;"|"&amp;I77,Notes!$G$62:$G$111,0)),""))</f>
        <v/>
      </c>
    </row>
    <row r="78">
      <c r="A78" s="2" t="n">
        <v>77</v>
      </c>
      <c r="B78" s="2">
        <f>IFERROR(MATCH(A78,Lines!$AC$2:$AC$500,0),"")</f>
        <v/>
      </c>
      <c r="C78" s="2">
        <f>IF(B78="","",INDEX(Lines!$B$2:$B$500,B78)&amp;"")</f>
        <v/>
      </c>
      <c r="D78" s="2">
        <f>IF(B78="","",INDEX(Lines!$C$2:$C$500,B78)&amp;"")</f>
        <v/>
      </c>
      <c r="E78" s="2">
        <f>IF(B78="","",INDEX(Lines!$D$2:$D$500,B78)&amp;"")</f>
        <v/>
      </c>
      <c r="F78" s="2">
        <f>IF(B78="","",INDEX(Lines!$E$2:$E$500,B78)&amp;"")</f>
        <v/>
      </c>
      <c r="G78" s="2">
        <f>IF(B78="","",INDEX(Lines!$G$2:$G$500,B78)&amp;"")</f>
        <v/>
      </c>
      <c r="H78" s="2">
        <f>IF(B78="","",INDEX(Lines!$H$2:$H$500,B78))</f>
        <v/>
      </c>
      <c r="I78" s="2">
        <f>IF(B78="","",INDEX(Lines!$I$2:$I$500,B78))</f>
        <v/>
      </c>
      <c r="J78" s="2">
        <f>IF(B78="","",INDEX(Lines!$J$2:$J$500,B78)&amp;"")</f>
        <v/>
      </c>
      <c r="K78" s="2">
        <f>IF(B78="","",INDEX(Lines!$K$2:$K$500,B78)&amp;"")</f>
        <v/>
      </c>
      <c r="L78" s="2">
        <f>IF(B78="","",INDEX(Lines!$O$2:$O$500,B78)&amp;"")</f>
        <v/>
      </c>
      <c r="M78" s="9">
        <f>IF(B78="","",IF(E78="quote",INDEX(Lines!$N$2:$N$500,B78),""))</f>
        <v/>
      </c>
      <c r="N78" s="9">
        <f>IF(B78="","",IF(E78="quote",IF(INDEX(Lines!$Z$2:$Z$500,B78)=0,"",INDEX(Lines!$Y$2:$Y$500,B78)),INDEX(Lines!$N$2:$N$500,B78)))</f>
        <v/>
      </c>
      <c r="O78" s="9">
        <f>IF(B78="","",N(N78)-N(M78))</f>
        <v/>
      </c>
      <c r="P78" s="2">
        <f>IF(B78="","",INDEX(Lines!$AB$2:$AB$500,B78)&amp;"")</f>
        <v/>
      </c>
      <c r="Q78" s="2">
        <f>IF(B78="","",IFERROR(INDEX(Notes!$F$62:$F$111,MATCH(F78&amp;"|"&amp;I78,Notes!$G$62:$G$111,0)),""))</f>
        <v/>
      </c>
    </row>
    <row r="79">
      <c r="A79" s="2" t="n">
        <v>78</v>
      </c>
      <c r="B79" s="2">
        <f>IFERROR(MATCH(A79,Lines!$AC$2:$AC$500,0),"")</f>
        <v/>
      </c>
      <c r="C79" s="2">
        <f>IF(B79="","",INDEX(Lines!$B$2:$B$500,B79)&amp;"")</f>
        <v/>
      </c>
      <c r="D79" s="2">
        <f>IF(B79="","",INDEX(Lines!$C$2:$C$500,B79)&amp;"")</f>
        <v/>
      </c>
      <c r="E79" s="2">
        <f>IF(B79="","",INDEX(Lines!$D$2:$D$500,B79)&amp;"")</f>
        <v/>
      </c>
      <c r="F79" s="2">
        <f>IF(B79="","",INDEX(Lines!$E$2:$E$500,B79)&amp;"")</f>
        <v/>
      </c>
      <c r="G79" s="2">
        <f>IF(B79="","",INDEX(Lines!$G$2:$G$500,B79)&amp;"")</f>
        <v/>
      </c>
      <c r="H79" s="2">
        <f>IF(B79="","",INDEX(Lines!$H$2:$H$500,B79))</f>
        <v/>
      </c>
      <c r="I79" s="2">
        <f>IF(B79="","",INDEX(Lines!$I$2:$I$500,B79))</f>
        <v/>
      </c>
      <c r="J79" s="2">
        <f>IF(B79="","",INDEX(Lines!$J$2:$J$500,B79)&amp;"")</f>
        <v/>
      </c>
      <c r="K79" s="2">
        <f>IF(B79="","",INDEX(Lines!$K$2:$K$500,B79)&amp;"")</f>
        <v/>
      </c>
      <c r="L79" s="2">
        <f>IF(B79="","",INDEX(Lines!$O$2:$O$500,B79)&amp;"")</f>
        <v/>
      </c>
      <c r="M79" s="9">
        <f>IF(B79="","",IF(E79="quote",INDEX(Lines!$N$2:$N$500,B79),""))</f>
        <v/>
      </c>
      <c r="N79" s="9">
        <f>IF(B79="","",IF(E79="quote",IF(INDEX(Lines!$Z$2:$Z$500,B79)=0,"",INDEX(Lines!$Y$2:$Y$500,B79)),INDEX(Lines!$N$2:$N$500,B79)))</f>
        <v/>
      </c>
      <c r="O79" s="9">
        <f>IF(B79="","",N(N79)-N(M79))</f>
        <v/>
      </c>
      <c r="P79" s="2">
        <f>IF(B79="","",INDEX(Lines!$AB$2:$AB$500,B79)&amp;"")</f>
        <v/>
      </c>
      <c r="Q79" s="2">
        <f>IF(B79="","",IFERROR(INDEX(Notes!$F$62:$F$111,MATCH(F79&amp;"|"&amp;I79,Notes!$G$62:$G$111,0)),""))</f>
        <v/>
      </c>
    </row>
    <row r="80">
      <c r="A80" s="2" t="n">
        <v>79</v>
      </c>
      <c r="B80" s="2">
        <f>IFERROR(MATCH(A80,Lines!$AC$2:$AC$500,0),"")</f>
        <v/>
      </c>
      <c r="C80" s="2">
        <f>IF(B80="","",INDEX(Lines!$B$2:$B$500,B80)&amp;"")</f>
        <v/>
      </c>
      <c r="D80" s="2">
        <f>IF(B80="","",INDEX(Lines!$C$2:$C$500,B80)&amp;"")</f>
        <v/>
      </c>
      <c r="E80" s="2">
        <f>IF(B80="","",INDEX(Lines!$D$2:$D$500,B80)&amp;"")</f>
        <v/>
      </c>
      <c r="F80" s="2">
        <f>IF(B80="","",INDEX(Lines!$E$2:$E$500,B80)&amp;"")</f>
        <v/>
      </c>
      <c r="G80" s="2">
        <f>IF(B80="","",INDEX(Lines!$G$2:$G$500,B80)&amp;"")</f>
        <v/>
      </c>
      <c r="H80" s="2">
        <f>IF(B80="","",INDEX(Lines!$H$2:$H$500,B80))</f>
        <v/>
      </c>
      <c r="I80" s="2">
        <f>IF(B80="","",INDEX(Lines!$I$2:$I$500,B80))</f>
        <v/>
      </c>
      <c r="J80" s="2">
        <f>IF(B80="","",INDEX(Lines!$J$2:$J$500,B80)&amp;"")</f>
        <v/>
      </c>
      <c r="K80" s="2">
        <f>IF(B80="","",INDEX(Lines!$K$2:$K$500,B80)&amp;"")</f>
        <v/>
      </c>
      <c r="L80" s="2">
        <f>IF(B80="","",INDEX(Lines!$O$2:$O$500,B80)&amp;"")</f>
        <v/>
      </c>
      <c r="M80" s="9">
        <f>IF(B80="","",IF(E80="quote",INDEX(Lines!$N$2:$N$500,B80),""))</f>
        <v/>
      </c>
      <c r="N80" s="9">
        <f>IF(B80="","",IF(E80="quote",IF(INDEX(Lines!$Z$2:$Z$500,B80)=0,"",INDEX(Lines!$Y$2:$Y$500,B80)),INDEX(Lines!$N$2:$N$500,B80)))</f>
        <v/>
      </c>
      <c r="O80" s="9">
        <f>IF(B80="","",N(N80)-N(M80))</f>
        <v/>
      </c>
      <c r="P80" s="2">
        <f>IF(B80="","",INDEX(Lines!$AB$2:$AB$500,B80)&amp;"")</f>
        <v/>
      </c>
      <c r="Q80" s="2">
        <f>IF(B80="","",IFERROR(INDEX(Notes!$F$62:$F$111,MATCH(F80&amp;"|"&amp;I80,Notes!$G$62:$G$111,0)),""))</f>
        <v/>
      </c>
    </row>
    <row r="81">
      <c r="A81" s="2" t="n">
        <v>80</v>
      </c>
      <c r="B81" s="2">
        <f>IFERROR(MATCH(A81,Lines!$AC$2:$AC$500,0),"")</f>
        <v/>
      </c>
      <c r="C81" s="2">
        <f>IF(B81="","",INDEX(Lines!$B$2:$B$500,B81)&amp;"")</f>
        <v/>
      </c>
      <c r="D81" s="2">
        <f>IF(B81="","",INDEX(Lines!$C$2:$C$500,B81)&amp;"")</f>
        <v/>
      </c>
      <c r="E81" s="2">
        <f>IF(B81="","",INDEX(Lines!$D$2:$D$500,B81)&amp;"")</f>
        <v/>
      </c>
      <c r="F81" s="2">
        <f>IF(B81="","",INDEX(Lines!$E$2:$E$500,B81)&amp;"")</f>
        <v/>
      </c>
      <c r="G81" s="2">
        <f>IF(B81="","",INDEX(Lines!$G$2:$G$500,B81)&amp;"")</f>
        <v/>
      </c>
      <c r="H81" s="2">
        <f>IF(B81="","",INDEX(Lines!$H$2:$H$500,B81))</f>
        <v/>
      </c>
      <c r="I81" s="2">
        <f>IF(B81="","",INDEX(Lines!$I$2:$I$500,B81))</f>
        <v/>
      </c>
      <c r="J81" s="2">
        <f>IF(B81="","",INDEX(Lines!$J$2:$J$500,B81)&amp;"")</f>
        <v/>
      </c>
      <c r="K81" s="2">
        <f>IF(B81="","",INDEX(Lines!$K$2:$K$500,B81)&amp;"")</f>
        <v/>
      </c>
      <c r="L81" s="2">
        <f>IF(B81="","",INDEX(Lines!$O$2:$O$500,B81)&amp;"")</f>
        <v/>
      </c>
      <c r="M81" s="9">
        <f>IF(B81="","",IF(E81="quote",INDEX(Lines!$N$2:$N$500,B81),""))</f>
        <v/>
      </c>
      <c r="N81" s="9">
        <f>IF(B81="","",IF(E81="quote",IF(INDEX(Lines!$Z$2:$Z$500,B81)=0,"",INDEX(Lines!$Y$2:$Y$500,B81)),INDEX(Lines!$N$2:$N$500,B81)))</f>
        <v/>
      </c>
      <c r="O81" s="9">
        <f>IF(B81="","",N(N81)-N(M81))</f>
        <v/>
      </c>
      <c r="P81" s="2">
        <f>IF(B81="","",INDEX(Lines!$AB$2:$AB$500,B81)&amp;"")</f>
        <v/>
      </c>
      <c r="Q81" s="2">
        <f>IF(B81="","",IFERROR(INDEX(Notes!$F$62:$F$111,MATCH(F81&amp;"|"&amp;I81,Notes!$G$62:$G$111,0)),""))</f>
        <v/>
      </c>
    </row>
    <row r="82">
      <c r="A82" s="2" t="n">
        <v>81</v>
      </c>
      <c r="B82" s="2">
        <f>IFERROR(MATCH(A82,Lines!$AC$2:$AC$500,0),"")</f>
        <v/>
      </c>
      <c r="C82" s="2">
        <f>IF(B82="","",INDEX(Lines!$B$2:$B$500,B82)&amp;"")</f>
        <v/>
      </c>
      <c r="D82" s="2">
        <f>IF(B82="","",INDEX(Lines!$C$2:$C$500,B82)&amp;"")</f>
        <v/>
      </c>
      <c r="E82" s="2">
        <f>IF(B82="","",INDEX(Lines!$D$2:$D$500,B82)&amp;"")</f>
        <v/>
      </c>
      <c r="F82" s="2">
        <f>IF(B82="","",INDEX(Lines!$E$2:$E$500,B82)&amp;"")</f>
        <v/>
      </c>
      <c r="G82" s="2">
        <f>IF(B82="","",INDEX(Lines!$G$2:$G$500,B82)&amp;"")</f>
        <v/>
      </c>
      <c r="H82" s="2">
        <f>IF(B82="","",INDEX(Lines!$H$2:$H$500,B82))</f>
        <v/>
      </c>
      <c r="I82" s="2">
        <f>IF(B82="","",INDEX(Lines!$I$2:$I$500,B82))</f>
        <v/>
      </c>
      <c r="J82" s="2">
        <f>IF(B82="","",INDEX(Lines!$J$2:$J$500,B82)&amp;"")</f>
        <v/>
      </c>
      <c r="K82" s="2">
        <f>IF(B82="","",INDEX(Lines!$K$2:$K$500,B82)&amp;"")</f>
        <v/>
      </c>
      <c r="L82" s="2">
        <f>IF(B82="","",INDEX(Lines!$O$2:$O$500,B82)&amp;"")</f>
        <v/>
      </c>
      <c r="M82" s="9">
        <f>IF(B82="","",IF(E82="quote",INDEX(Lines!$N$2:$N$500,B82),""))</f>
        <v/>
      </c>
      <c r="N82" s="9">
        <f>IF(B82="","",IF(E82="quote",IF(INDEX(Lines!$Z$2:$Z$500,B82)=0,"",INDEX(Lines!$Y$2:$Y$500,B82)),INDEX(Lines!$N$2:$N$500,B82)))</f>
        <v/>
      </c>
      <c r="O82" s="9">
        <f>IF(B82="","",N(N82)-N(M82))</f>
        <v/>
      </c>
      <c r="P82" s="2">
        <f>IF(B82="","",INDEX(Lines!$AB$2:$AB$500,B82)&amp;"")</f>
        <v/>
      </c>
      <c r="Q82" s="2">
        <f>IF(B82="","",IFERROR(INDEX(Notes!$F$62:$F$111,MATCH(F82&amp;"|"&amp;I82,Notes!$G$62:$G$111,0)),""))</f>
        <v/>
      </c>
    </row>
    <row r="83">
      <c r="A83" s="2" t="n">
        <v>82</v>
      </c>
      <c r="B83" s="2">
        <f>IFERROR(MATCH(A83,Lines!$AC$2:$AC$500,0),"")</f>
        <v/>
      </c>
      <c r="C83" s="2">
        <f>IF(B83="","",INDEX(Lines!$B$2:$B$500,B83)&amp;"")</f>
        <v/>
      </c>
      <c r="D83" s="2">
        <f>IF(B83="","",INDEX(Lines!$C$2:$C$500,B83)&amp;"")</f>
        <v/>
      </c>
      <c r="E83" s="2">
        <f>IF(B83="","",INDEX(Lines!$D$2:$D$500,B83)&amp;"")</f>
        <v/>
      </c>
      <c r="F83" s="2">
        <f>IF(B83="","",INDEX(Lines!$E$2:$E$500,B83)&amp;"")</f>
        <v/>
      </c>
      <c r="G83" s="2">
        <f>IF(B83="","",INDEX(Lines!$G$2:$G$500,B83)&amp;"")</f>
        <v/>
      </c>
      <c r="H83" s="2">
        <f>IF(B83="","",INDEX(Lines!$H$2:$H$500,B83))</f>
        <v/>
      </c>
      <c r="I83" s="2">
        <f>IF(B83="","",INDEX(Lines!$I$2:$I$500,B83))</f>
        <v/>
      </c>
      <c r="J83" s="2">
        <f>IF(B83="","",INDEX(Lines!$J$2:$J$500,B83)&amp;"")</f>
        <v/>
      </c>
      <c r="K83" s="2">
        <f>IF(B83="","",INDEX(Lines!$K$2:$K$500,B83)&amp;"")</f>
        <v/>
      </c>
      <c r="L83" s="2">
        <f>IF(B83="","",INDEX(Lines!$O$2:$O$500,B83)&amp;"")</f>
        <v/>
      </c>
      <c r="M83" s="9">
        <f>IF(B83="","",IF(E83="quote",INDEX(Lines!$N$2:$N$500,B83),""))</f>
        <v/>
      </c>
      <c r="N83" s="9">
        <f>IF(B83="","",IF(E83="quote",IF(INDEX(Lines!$Z$2:$Z$500,B83)=0,"",INDEX(Lines!$Y$2:$Y$500,B83)),INDEX(Lines!$N$2:$N$500,B83)))</f>
        <v/>
      </c>
      <c r="O83" s="9">
        <f>IF(B83="","",N(N83)-N(M83))</f>
        <v/>
      </c>
      <c r="P83" s="2">
        <f>IF(B83="","",INDEX(Lines!$AB$2:$AB$500,B83)&amp;"")</f>
        <v/>
      </c>
      <c r="Q83" s="2">
        <f>IF(B83="","",IFERROR(INDEX(Notes!$F$62:$F$111,MATCH(F83&amp;"|"&amp;I83,Notes!$G$62:$G$111,0)),""))</f>
        <v/>
      </c>
    </row>
    <row r="84">
      <c r="A84" s="2" t="n">
        <v>83</v>
      </c>
      <c r="B84" s="2">
        <f>IFERROR(MATCH(A84,Lines!$AC$2:$AC$500,0),"")</f>
        <v/>
      </c>
      <c r="C84" s="2">
        <f>IF(B84="","",INDEX(Lines!$B$2:$B$500,B84)&amp;"")</f>
        <v/>
      </c>
      <c r="D84" s="2">
        <f>IF(B84="","",INDEX(Lines!$C$2:$C$500,B84)&amp;"")</f>
        <v/>
      </c>
      <c r="E84" s="2">
        <f>IF(B84="","",INDEX(Lines!$D$2:$D$500,B84)&amp;"")</f>
        <v/>
      </c>
      <c r="F84" s="2">
        <f>IF(B84="","",INDEX(Lines!$E$2:$E$500,B84)&amp;"")</f>
        <v/>
      </c>
      <c r="G84" s="2">
        <f>IF(B84="","",INDEX(Lines!$G$2:$G$500,B84)&amp;"")</f>
        <v/>
      </c>
      <c r="H84" s="2">
        <f>IF(B84="","",INDEX(Lines!$H$2:$H$500,B84))</f>
        <v/>
      </c>
      <c r="I84" s="2">
        <f>IF(B84="","",INDEX(Lines!$I$2:$I$500,B84))</f>
        <v/>
      </c>
      <c r="J84" s="2">
        <f>IF(B84="","",INDEX(Lines!$J$2:$J$500,B84)&amp;"")</f>
        <v/>
      </c>
      <c r="K84" s="2">
        <f>IF(B84="","",INDEX(Lines!$K$2:$K$500,B84)&amp;"")</f>
        <v/>
      </c>
      <c r="L84" s="2">
        <f>IF(B84="","",INDEX(Lines!$O$2:$O$500,B84)&amp;"")</f>
        <v/>
      </c>
      <c r="M84" s="9">
        <f>IF(B84="","",IF(E84="quote",INDEX(Lines!$N$2:$N$500,B84),""))</f>
        <v/>
      </c>
      <c r="N84" s="9">
        <f>IF(B84="","",IF(E84="quote",IF(INDEX(Lines!$Z$2:$Z$500,B84)=0,"",INDEX(Lines!$Y$2:$Y$500,B84)),INDEX(Lines!$N$2:$N$500,B84)))</f>
        <v/>
      </c>
      <c r="O84" s="9">
        <f>IF(B84="","",N(N84)-N(M84))</f>
        <v/>
      </c>
      <c r="P84" s="2">
        <f>IF(B84="","",INDEX(Lines!$AB$2:$AB$500,B84)&amp;"")</f>
        <v/>
      </c>
      <c r="Q84" s="2">
        <f>IF(B84="","",IFERROR(INDEX(Notes!$F$62:$F$111,MATCH(F84&amp;"|"&amp;I84,Notes!$G$62:$G$111,0)),""))</f>
        <v/>
      </c>
    </row>
    <row r="85">
      <c r="A85" s="2" t="n">
        <v>84</v>
      </c>
      <c r="B85" s="2">
        <f>IFERROR(MATCH(A85,Lines!$AC$2:$AC$500,0),"")</f>
        <v/>
      </c>
      <c r="C85" s="2">
        <f>IF(B85="","",INDEX(Lines!$B$2:$B$500,B85)&amp;"")</f>
        <v/>
      </c>
      <c r="D85" s="2">
        <f>IF(B85="","",INDEX(Lines!$C$2:$C$500,B85)&amp;"")</f>
        <v/>
      </c>
      <c r="E85" s="2">
        <f>IF(B85="","",INDEX(Lines!$D$2:$D$500,B85)&amp;"")</f>
        <v/>
      </c>
      <c r="F85" s="2">
        <f>IF(B85="","",INDEX(Lines!$E$2:$E$500,B85)&amp;"")</f>
        <v/>
      </c>
      <c r="G85" s="2">
        <f>IF(B85="","",INDEX(Lines!$G$2:$G$500,B85)&amp;"")</f>
        <v/>
      </c>
      <c r="H85" s="2">
        <f>IF(B85="","",INDEX(Lines!$H$2:$H$500,B85))</f>
        <v/>
      </c>
      <c r="I85" s="2">
        <f>IF(B85="","",INDEX(Lines!$I$2:$I$500,B85))</f>
        <v/>
      </c>
      <c r="J85" s="2">
        <f>IF(B85="","",INDEX(Lines!$J$2:$J$500,B85)&amp;"")</f>
        <v/>
      </c>
      <c r="K85" s="2">
        <f>IF(B85="","",INDEX(Lines!$K$2:$K$500,B85)&amp;"")</f>
        <v/>
      </c>
      <c r="L85" s="2">
        <f>IF(B85="","",INDEX(Lines!$O$2:$O$500,B85)&amp;"")</f>
        <v/>
      </c>
      <c r="M85" s="9">
        <f>IF(B85="","",IF(E85="quote",INDEX(Lines!$N$2:$N$500,B85),""))</f>
        <v/>
      </c>
      <c r="N85" s="9">
        <f>IF(B85="","",IF(E85="quote",IF(INDEX(Lines!$Z$2:$Z$500,B85)=0,"",INDEX(Lines!$Y$2:$Y$500,B85)),INDEX(Lines!$N$2:$N$500,B85)))</f>
        <v/>
      </c>
      <c r="O85" s="9">
        <f>IF(B85="","",N(N85)-N(M85))</f>
        <v/>
      </c>
      <c r="P85" s="2">
        <f>IF(B85="","",INDEX(Lines!$AB$2:$AB$500,B85)&amp;"")</f>
        <v/>
      </c>
      <c r="Q85" s="2">
        <f>IF(B85="","",IFERROR(INDEX(Notes!$F$62:$F$111,MATCH(F85&amp;"|"&amp;I85,Notes!$G$62:$G$111,0)),""))</f>
        <v/>
      </c>
    </row>
    <row r="86">
      <c r="A86" s="2" t="n">
        <v>85</v>
      </c>
      <c r="B86" s="2">
        <f>IFERROR(MATCH(A86,Lines!$AC$2:$AC$500,0),"")</f>
        <v/>
      </c>
      <c r="C86" s="2">
        <f>IF(B86="","",INDEX(Lines!$B$2:$B$500,B86)&amp;"")</f>
        <v/>
      </c>
      <c r="D86" s="2">
        <f>IF(B86="","",INDEX(Lines!$C$2:$C$500,B86)&amp;"")</f>
        <v/>
      </c>
      <c r="E86" s="2">
        <f>IF(B86="","",INDEX(Lines!$D$2:$D$500,B86)&amp;"")</f>
        <v/>
      </c>
      <c r="F86" s="2">
        <f>IF(B86="","",INDEX(Lines!$E$2:$E$500,B86)&amp;"")</f>
        <v/>
      </c>
      <c r="G86" s="2">
        <f>IF(B86="","",INDEX(Lines!$G$2:$G$500,B86)&amp;"")</f>
        <v/>
      </c>
      <c r="H86" s="2">
        <f>IF(B86="","",INDEX(Lines!$H$2:$H$500,B86))</f>
        <v/>
      </c>
      <c r="I86" s="2">
        <f>IF(B86="","",INDEX(Lines!$I$2:$I$500,B86))</f>
        <v/>
      </c>
      <c r="J86" s="2">
        <f>IF(B86="","",INDEX(Lines!$J$2:$J$500,B86)&amp;"")</f>
        <v/>
      </c>
      <c r="K86" s="2">
        <f>IF(B86="","",INDEX(Lines!$K$2:$K$500,B86)&amp;"")</f>
        <v/>
      </c>
      <c r="L86" s="2">
        <f>IF(B86="","",INDEX(Lines!$O$2:$O$500,B86)&amp;"")</f>
        <v/>
      </c>
      <c r="M86" s="9">
        <f>IF(B86="","",IF(E86="quote",INDEX(Lines!$N$2:$N$500,B86),""))</f>
        <v/>
      </c>
      <c r="N86" s="9">
        <f>IF(B86="","",IF(E86="quote",IF(INDEX(Lines!$Z$2:$Z$500,B86)=0,"",INDEX(Lines!$Y$2:$Y$500,B86)),INDEX(Lines!$N$2:$N$500,B86)))</f>
        <v/>
      </c>
      <c r="O86" s="9">
        <f>IF(B86="","",N(N86)-N(M86))</f>
        <v/>
      </c>
      <c r="P86" s="2">
        <f>IF(B86="","",INDEX(Lines!$AB$2:$AB$500,B86)&amp;"")</f>
        <v/>
      </c>
      <c r="Q86" s="2">
        <f>IF(B86="","",IFERROR(INDEX(Notes!$F$62:$F$111,MATCH(F86&amp;"|"&amp;I86,Notes!$G$62:$G$111,0)),""))</f>
        <v/>
      </c>
    </row>
    <row r="87">
      <c r="A87" s="2" t="n">
        <v>86</v>
      </c>
      <c r="B87" s="2">
        <f>IFERROR(MATCH(A87,Lines!$AC$2:$AC$500,0),"")</f>
        <v/>
      </c>
      <c r="C87" s="2">
        <f>IF(B87="","",INDEX(Lines!$B$2:$B$500,B87)&amp;"")</f>
        <v/>
      </c>
      <c r="D87" s="2">
        <f>IF(B87="","",INDEX(Lines!$C$2:$C$500,B87)&amp;"")</f>
        <v/>
      </c>
      <c r="E87" s="2">
        <f>IF(B87="","",INDEX(Lines!$D$2:$D$500,B87)&amp;"")</f>
        <v/>
      </c>
      <c r="F87" s="2">
        <f>IF(B87="","",INDEX(Lines!$E$2:$E$500,B87)&amp;"")</f>
        <v/>
      </c>
      <c r="G87" s="2">
        <f>IF(B87="","",INDEX(Lines!$G$2:$G$500,B87)&amp;"")</f>
        <v/>
      </c>
      <c r="H87" s="2">
        <f>IF(B87="","",INDEX(Lines!$H$2:$H$500,B87))</f>
        <v/>
      </c>
      <c r="I87" s="2">
        <f>IF(B87="","",INDEX(Lines!$I$2:$I$500,B87))</f>
        <v/>
      </c>
      <c r="J87" s="2">
        <f>IF(B87="","",INDEX(Lines!$J$2:$J$500,B87)&amp;"")</f>
        <v/>
      </c>
      <c r="K87" s="2">
        <f>IF(B87="","",INDEX(Lines!$K$2:$K$500,B87)&amp;"")</f>
        <v/>
      </c>
      <c r="L87" s="2">
        <f>IF(B87="","",INDEX(Lines!$O$2:$O$500,B87)&amp;"")</f>
        <v/>
      </c>
      <c r="M87" s="9">
        <f>IF(B87="","",IF(E87="quote",INDEX(Lines!$N$2:$N$500,B87),""))</f>
        <v/>
      </c>
      <c r="N87" s="9">
        <f>IF(B87="","",IF(E87="quote",IF(INDEX(Lines!$Z$2:$Z$500,B87)=0,"",INDEX(Lines!$Y$2:$Y$500,B87)),INDEX(Lines!$N$2:$N$500,B87)))</f>
        <v/>
      </c>
      <c r="O87" s="9">
        <f>IF(B87="","",N(N87)-N(M87))</f>
        <v/>
      </c>
      <c r="P87" s="2">
        <f>IF(B87="","",INDEX(Lines!$AB$2:$AB$500,B87)&amp;"")</f>
        <v/>
      </c>
      <c r="Q87" s="2">
        <f>IF(B87="","",IFERROR(INDEX(Notes!$F$62:$F$111,MATCH(F87&amp;"|"&amp;I87,Notes!$G$62:$G$111,0)),""))</f>
        <v/>
      </c>
    </row>
    <row r="88">
      <c r="A88" s="2" t="n">
        <v>87</v>
      </c>
      <c r="B88" s="2">
        <f>IFERROR(MATCH(A88,Lines!$AC$2:$AC$500,0),"")</f>
        <v/>
      </c>
      <c r="C88" s="2">
        <f>IF(B88="","",INDEX(Lines!$B$2:$B$500,B88)&amp;"")</f>
        <v/>
      </c>
      <c r="D88" s="2">
        <f>IF(B88="","",INDEX(Lines!$C$2:$C$500,B88)&amp;"")</f>
        <v/>
      </c>
      <c r="E88" s="2">
        <f>IF(B88="","",INDEX(Lines!$D$2:$D$500,B88)&amp;"")</f>
        <v/>
      </c>
      <c r="F88" s="2">
        <f>IF(B88="","",INDEX(Lines!$E$2:$E$500,B88)&amp;"")</f>
        <v/>
      </c>
      <c r="G88" s="2">
        <f>IF(B88="","",INDEX(Lines!$G$2:$G$500,B88)&amp;"")</f>
        <v/>
      </c>
      <c r="H88" s="2">
        <f>IF(B88="","",INDEX(Lines!$H$2:$H$500,B88))</f>
        <v/>
      </c>
      <c r="I88" s="2">
        <f>IF(B88="","",INDEX(Lines!$I$2:$I$500,B88))</f>
        <v/>
      </c>
      <c r="J88" s="2">
        <f>IF(B88="","",INDEX(Lines!$J$2:$J$500,B88)&amp;"")</f>
        <v/>
      </c>
      <c r="K88" s="2">
        <f>IF(B88="","",INDEX(Lines!$K$2:$K$500,B88)&amp;"")</f>
        <v/>
      </c>
      <c r="L88" s="2">
        <f>IF(B88="","",INDEX(Lines!$O$2:$O$500,B88)&amp;"")</f>
        <v/>
      </c>
      <c r="M88" s="9">
        <f>IF(B88="","",IF(E88="quote",INDEX(Lines!$N$2:$N$500,B88),""))</f>
        <v/>
      </c>
      <c r="N88" s="9">
        <f>IF(B88="","",IF(E88="quote",IF(INDEX(Lines!$Z$2:$Z$500,B88)=0,"",INDEX(Lines!$Y$2:$Y$500,B88)),INDEX(Lines!$N$2:$N$500,B88)))</f>
        <v/>
      </c>
      <c r="O88" s="9">
        <f>IF(B88="","",N(N88)-N(M88))</f>
        <v/>
      </c>
      <c r="P88" s="2">
        <f>IF(B88="","",INDEX(Lines!$AB$2:$AB$500,B88)&amp;"")</f>
        <v/>
      </c>
      <c r="Q88" s="2">
        <f>IF(B88="","",IFERROR(INDEX(Notes!$F$62:$F$111,MATCH(F88&amp;"|"&amp;I88,Notes!$G$62:$G$111,0)),""))</f>
        <v/>
      </c>
    </row>
    <row r="89">
      <c r="A89" s="2" t="n">
        <v>88</v>
      </c>
      <c r="B89" s="2">
        <f>IFERROR(MATCH(A89,Lines!$AC$2:$AC$500,0),"")</f>
        <v/>
      </c>
      <c r="C89" s="2">
        <f>IF(B89="","",INDEX(Lines!$B$2:$B$500,B89)&amp;"")</f>
        <v/>
      </c>
      <c r="D89" s="2">
        <f>IF(B89="","",INDEX(Lines!$C$2:$C$500,B89)&amp;"")</f>
        <v/>
      </c>
      <c r="E89" s="2">
        <f>IF(B89="","",INDEX(Lines!$D$2:$D$500,B89)&amp;"")</f>
        <v/>
      </c>
      <c r="F89" s="2">
        <f>IF(B89="","",INDEX(Lines!$E$2:$E$500,B89)&amp;"")</f>
        <v/>
      </c>
      <c r="G89" s="2">
        <f>IF(B89="","",INDEX(Lines!$G$2:$G$500,B89)&amp;"")</f>
        <v/>
      </c>
      <c r="H89" s="2">
        <f>IF(B89="","",INDEX(Lines!$H$2:$H$500,B89))</f>
        <v/>
      </c>
      <c r="I89" s="2">
        <f>IF(B89="","",INDEX(Lines!$I$2:$I$500,B89))</f>
        <v/>
      </c>
      <c r="J89" s="2">
        <f>IF(B89="","",INDEX(Lines!$J$2:$J$500,B89)&amp;"")</f>
        <v/>
      </c>
      <c r="K89" s="2">
        <f>IF(B89="","",INDEX(Lines!$K$2:$K$500,B89)&amp;"")</f>
        <v/>
      </c>
      <c r="L89" s="2">
        <f>IF(B89="","",INDEX(Lines!$O$2:$O$500,B89)&amp;"")</f>
        <v/>
      </c>
      <c r="M89" s="9">
        <f>IF(B89="","",IF(E89="quote",INDEX(Lines!$N$2:$N$500,B89),""))</f>
        <v/>
      </c>
      <c r="N89" s="9">
        <f>IF(B89="","",IF(E89="quote",IF(INDEX(Lines!$Z$2:$Z$500,B89)=0,"",INDEX(Lines!$Y$2:$Y$500,B89)),INDEX(Lines!$N$2:$N$500,B89)))</f>
        <v/>
      </c>
      <c r="O89" s="9">
        <f>IF(B89="","",N(N89)-N(M89))</f>
        <v/>
      </c>
      <c r="P89" s="2">
        <f>IF(B89="","",INDEX(Lines!$AB$2:$AB$500,B89)&amp;"")</f>
        <v/>
      </c>
      <c r="Q89" s="2">
        <f>IF(B89="","",IFERROR(INDEX(Notes!$F$62:$F$111,MATCH(F89&amp;"|"&amp;I89,Notes!$G$62:$G$111,0)),""))</f>
        <v/>
      </c>
    </row>
    <row r="90">
      <c r="A90" s="2" t="n">
        <v>89</v>
      </c>
      <c r="B90" s="2">
        <f>IFERROR(MATCH(A90,Lines!$AC$2:$AC$500,0),"")</f>
        <v/>
      </c>
      <c r="C90" s="2">
        <f>IF(B90="","",INDEX(Lines!$B$2:$B$500,B90)&amp;"")</f>
        <v/>
      </c>
      <c r="D90" s="2">
        <f>IF(B90="","",INDEX(Lines!$C$2:$C$500,B90)&amp;"")</f>
        <v/>
      </c>
      <c r="E90" s="2">
        <f>IF(B90="","",INDEX(Lines!$D$2:$D$500,B90)&amp;"")</f>
        <v/>
      </c>
      <c r="F90" s="2">
        <f>IF(B90="","",INDEX(Lines!$E$2:$E$500,B90)&amp;"")</f>
        <v/>
      </c>
      <c r="G90" s="2">
        <f>IF(B90="","",INDEX(Lines!$G$2:$G$500,B90)&amp;"")</f>
        <v/>
      </c>
      <c r="H90" s="2">
        <f>IF(B90="","",INDEX(Lines!$H$2:$H$500,B90))</f>
        <v/>
      </c>
      <c r="I90" s="2">
        <f>IF(B90="","",INDEX(Lines!$I$2:$I$500,B90))</f>
        <v/>
      </c>
      <c r="J90" s="2">
        <f>IF(B90="","",INDEX(Lines!$J$2:$J$500,B90)&amp;"")</f>
        <v/>
      </c>
      <c r="K90" s="2">
        <f>IF(B90="","",INDEX(Lines!$K$2:$K$500,B90)&amp;"")</f>
        <v/>
      </c>
      <c r="L90" s="2">
        <f>IF(B90="","",INDEX(Lines!$O$2:$O$500,B90)&amp;"")</f>
        <v/>
      </c>
      <c r="M90" s="9">
        <f>IF(B90="","",IF(E90="quote",INDEX(Lines!$N$2:$N$500,B90),""))</f>
        <v/>
      </c>
      <c r="N90" s="9">
        <f>IF(B90="","",IF(E90="quote",IF(INDEX(Lines!$Z$2:$Z$500,B90)=0,"",INDEX(Lines!$Y$2:$Y$500,B90)),INDEX(Lines!$N$2:$N$500,B90)))</f>
        <v/>
      </c>
      <c r="O90" s="9">
        <f>IF(B90="","",N(N90)-N(M90))</f>
        <v/>
      </c>
      <c r="P90" s="2">
        <f>IF(B90="","",INDEX(Lines!$AB$2:$AB$500,B90)&amp;"")</f>
        <v/>
      </c>
      <c r="Q90" s="2">
        <f>IF(B90="","",IFERROR(INDEX(Notes!$F$62:$F$111,MATCH(F90&amp;"|"&amp;I90,Notes!$G$62:$G$111,0)),""))</f>
        <v/>
      </c>
    </row>
    <row r="91">
      <c r="A91" s="2" t="n">
        <v>90</v>
      </c>
      <c r="B91" s="2">
        <f>IFERROR(MATCH(A91,Lines!$AC$2:$AC$500,0),"")</f>
        <v/>
      </c>
      <c r="C91" s="2">
        <f>IF(B91="","",INDEX(Lines!$B$2:$B$500,B91)&amp;"")</f>
        <v/>
      </c>
      <c r="D91" s="2">
        <f>IF(B91="","",INDEX(Lines!$C$2:$C$500,B91)&amp;"")</f>
        <v/>
      </c>
      <c r="E91" s="2">
        <f>IF(B91="","",INDEX(Lines!$D$2:$D$500,B91)&amp;"")</f>
        <v/>
      </c>
      <c r="F91" s="2">
        <f>IF(B91="","",INDEX(Lines!$E$2:$E$500,B91)&amp;"")</f>
        <v/>
      </c>
      <c r="G91" s="2">
        <f>IF(B91="","",INDEX(Lines!$G$2:$G$500,B91)&amp;"")</f>
        <v/>
      </c>
      <c r="H91" s="2">
        <f>IF(B91="","",INDEX(Lines!$H$2:$H$500,B91))</f>
        <v/>
      </c>
      <c r="I91" s="2">
        <f>IF(B91="","",INDEX(Lines!$I$2:$I$500,B91))</f>
        <v/>
      </c>
      <c r="J91" s="2">
        <f>IF(B91="","",INDEX(Lines!$J$2:$J$500,B91)&amp;"")</f>
        <v/>
      </c>
      <c r="K91" s="2">
        <f>IF(B91="","",INDEX(Lines!$K$2:$K$500,B91)&amp;"")</f>
        <v/>
      </c>
      <c r="L91" s="2">
        <f>IF(B91="","",INDEX(Lines!$O$2:$O$500,B91)&amp;"")</f>
        <v/>
      </c>
      <c r="M91" s="9">
        <f>IF(B91="","",IF(E91="quote",INDEX(Lines!$N$2:$N$500,B91),""))</f>
        <v/>
      </c>
      <c r="N91" s="9">
        <f>IF(B91="","",IF(E91="quote",IF(INDEX(Lines!$Z$2:$Z$500,B91)=0,"",INDEX(Lines!$Y$2:$Y$500,B91)),INDEX(Lines!$N$2:$N$500,B91)))</f>
        <v/>
      </c>
      <c r="O91" s="9">
        <f>IF(B91="","",N(N91)-N(M91))</f>
        <v/>
      </c>
      <c r="P91" s="2">
        <f>IF(B91="","",INDEX(Lines!$AB$2:$AB$500,B91)&amp;"")</f>
        <v/>
      </c>
      <c r="Q91" s="2">
        <f>IF(B91="","",IFERROR(INDEX(Notes!$F$62:$F$111,MATCH(F91&amp;"|"&amp;I91,Notes!$G$62:$G$111,0)),""))</f>
        <v/>
      </c>
    </row>
    <row r="92">
      <c r="A92" s="2" t="n">
        <v>91</v>
      </c>
      <c r="B92" s="2">
        <f>IFERROR(MATCH(A92,Lines!$AC$2:$AC$500,0),"")</f>
        <v/>
      </c>
      <c r="C92" s="2">
        <f>IF(B92="","",INDEX(Lines!$B$2:$B$500,B92)&amp;"")</f>
        <v/>
      </c>
      <c r="D92" s="2">
        <f>IF(B92="","",INDEX(Lines!$C$2:$C$500,B92)&amp;"")</f>
        <v/>
      </c>
      <c r="E92" s="2">
        <f>IF(B92="","",INDEX(Lines!$D$2:$D$500,B92)&amp;"")</f>
        <v/>
      </c>
      <c r="F92" s="2">
        <f>IF(B92="","",INDEX(Lines!$E$2:$E$500,B92)&amp;"")</f>
        <v/>
      </c>
      <c r="G92" s="2">
        <f>IF(B92="","",INDEX(Lines!$G$2:$G$500,B92)&amp;"")</f>
        <v/>
      </c>
      <c r="H92" s="2">
        <f>IF(B92="","",INDEX(Lines!$H$2:$H$500,B92))</f>
        <v/>
      </c>
      <c r="I92" s="2">
        <f>IF(B92="","",INDEX(Lines!$I$2:$I$500,B92))</f>
        <v/>
      </c>
      <c r="J92" s="2">
        <f>IF(B92="","",INDEX(Lines!$J$2:$J$500,B92)&amp;"")</f>
        <v/>
      </c>
      <c r="K92" s="2">
        <f>IF(B92="","",INDEX(Lines!$K$2:$K$500,B92)&amp;"")</f>
        <v/>
      </c>
      <c r="L92" s="2">
        <f>IF(B92="","",INDEX(Lines!$O$2:$O$500,B92)&amp;"")</f>
        <v/>
      </c>
      <c r="M92" s="9">
        <f>IF(B92="","",IF(E92="quote",INDEX(Lines!$N$2:$N$500,B92),""))</f>
        <v/>
      </c>
      <c r="N92" s="9">
        <f>IF(B92="","",IF(E92="quote",IF(INDEX(Lines!$Z$2:$Z$500,B92)=0,"",INDEX(Lines!$Y$2:$Y$500,B92)),INDEX(Lines!$N$2:$N$500,B92)))</f>
        <v/>
      </c>
      <c r="O92" s="9">
        <f>IF(B92="","",N(N92)-N(M92))</f>
        <v/>
      </c>
      <c r="P92" s="2">
        <f>IF(B92="","",INDEX(Lines!$AB$2:$AB$500,B92)&amp;"")</f>
        <v/>
      </c>
      <c r="Q92" s="2">
        <f>IF(B92="","",IFERROR(INDEX(Notes!$F$62:$F$111,MATCH(F92&amp;"|"&amp;I92,Notes!$G$62:$G$111,0)),""))</f>
        <v/>
      </c>
    </row>
    <row r="93">
      <c r="A93" s="2" t="n">
        <v>92</v>
      </c>
      <c r="B93" s="2">
        <f>IFERROR(MATCH(A93,Lines!$AC$2:$AC$500,0),"")</f>
        <v/>
      </c>
      <c r="C93" s="2">
        <f>IF(B93="","",INDEX(Lines!$B$2:$B$500,B93)&amp;"")</f>
        <v/>
      </c>
      <c r="D93" s="2">
        <f>IF(B93="","",INDEX(Lines!$C$2:$C$500,B93)&amp;"")</f>
        <v/>
      </c>
      <c r="E93" s="2">
        <f>IF(B93="","",INDEX(Lines!$D$2:$D$500,B93)&amp;"")</f>
        <v/>
      </c>
      <c r="F93" s="2">
        <f>IF(B93="","",INDEX(Lines!$E$2:$E$500,B93)&amp;"")</f>
        <v/>
      </c>
      <c r="G93" s="2">
        <f>IF(B93="","",INDEX(Lines!$G$2:$G$500,B93)&amp;"")</f>
        <v/>
      </c>
      <c r="H93" s="2">
        <f>IF(B93="","",INDEX(Lines!$H$2:$H$500,B93))</f>
        <v/>
      </c>
      <c r="I93" s="2">
        <f>IF(B93="","",INDEX(Lines!$I$2:$I$500,B93))</f>
        <v/>
      </c>
      <c r="J93" s="2">
        <f>IF(B93="","",INDEX(Lines!$J$2:$J$500,B93)&amp;"")</f>
        <v/>
      </c>
      <c r="K93" s="2">
        <f>IF(B93="","",INDEX(Lines!$K$2:$K$500,B93)&amp;"")</f>
        <v/>
      </c>
      <c r="L93" s="2">
        <f>IF(B93="","",INDEX(Lines!$O$2:$O$500,B93)&amp;"")</f>
        <v/>
      </c>
      <c r="M93" s="9">
        <f>IF(B93="","",IF(E93="quote",INDEX(Lines!$N$2:$N$500,B93),""))</f>
        <v/>
      </c>
      <c r="N93" s="9">
        <f>IF(B93="","",IF(E93="quote",IF(INDEX(Lines!$Z$2:$Z$500,B93)=0,"",INDEX(Lines!$Y$2:$Y$500,B93)),INDEX(Lines!$N$2:$N$500,B93)))</f>
        <v/>
      </c>
      <c r="O93" s="9">
        <f>IF(B93="","",N(N93)-N(M93))</f>
        <v/>
      </c>
      <c r="P93" s="2">
        <f>IF(B93="","",INDEX(Lines!$AB$2:$AB$500,B93)&amp;"")</f>
        <v/>
      </c>
      <c r="Q93" s="2">
        <f>IF(B93="","",IFERROR(INDEX(Notes!$F$62:$F$111,MATCH(F93&amp;"|"&amp;I93,Notes!$G$62:$G$111,0)),""))</f>
        <v/>
      </c>
    </row>
    <row r="94">
      <c r="A94" s="2" t="n">
        <v>93</v>
      </c>
      <c r="B94" s="2">
        <f>IFERROR(MATCH(A94,Lines!$AC$2:$AC$500,0),"")</f>
        <v/>
      </c>
      <c r="C94" s="2">
        <f>IF(B94="","",INDEX(Lines!$B$2:$B$500,B94)&amp;"")</f>
        <v/>
      </c>
      <c r="D94" s="2">
        <f>IF(B94="","",INDEX(Lines!$C$2:$C$500,B94)&amp;"")</f>
        <v/>
      </c>
      <c r="E94" s="2">
        <f>IF(B94="","",INDEX(Lines!$D$2:$D$500,B94)&amp;"")</f>
        <v/>
      </c>
      <c r="F94" s="2">
        <f>IF(B94="","",INDEX(Lines!$E$2:$E$500,B94)&amp;"")</f>
        <v/>
      </c>
      <c r="G94" s="2">
        <f>IF(B94="","",INDEX(Lines!$G$2:$G$500,B94)&amp;"")</f>
        <v/>
      </c>
      <c r="H94" s="2">
        <f>IF(B94="","",INDEX(Lines!$H$2:$H$500,B94))</f>
        <v/>
      </c>
      <c r="I94" s="2">
        <f>IF(B94="","",INDEX(Lines!$I$2:$I$500,B94))</f>
        <v/>
      </c>
      <c r="J94" s="2">
        <f>IF(B94="","",INDEX(Lines!$J$2:$J$500,B94)&amp;"")</f>
        <v/>
      </c>
      <c r="K94" s="2">
        <f>IF(B94="","",INDEX(Lines!$K$2:$K$500,B94)&amp;"")</f>
        <v/>
      </c>
      <c r="L94" s="2">
        <f>IF(B94="","",INDEX(Lines!$O$2:$O$500,B94)&amp;"")</f>
        <v/>
      </c>
      <c r="M94" s="9">
        <f>IF(B94="","",IF(E94="quote",INDEX(Lines!$N$2:$N$500,B94),""))</f>
        <v/>
      </c>
      <c r="N94" s="9">
        <f>IF(B94="","",IF(E94="quote",IF(INDEX(Lines!$Z$2:$Z$500,B94)=0,"",INDEX(Lines!$Y$2:$Y$500,B94)),INDEX(Lines!$N$2:$N$500,B94)))</f>
        <v/>
      </c>
      <c r="O94" s="9">
        <f>IF(B94="","",N(N94)-N(M94))</f>
        <v/>
      </c>
      <c r="P94" s="2">
        <f>IF(B94="","",INDEX(Lines!$AB$2:$AB$500,B94)&amp;"")</f>
        <v/>
      </c>
      <c r="Q94" s="2">
        <f>IF(B94="","",IFERROR(INDEX(Notes!$F$62:$F$111,MATCH(F94&amp;"|"&amp;I94,Notes!$G$62:$G$111,0)),""))</f>
        <v/>
      </c>
    </row>
    <row r="95">
      <c r="A95" s="2" t="n">
        <v>94</v>
      </c>
      <c r="B95" s="2">
        <f>IFERROR(MATCH(A95,Lines!$AC$2:$AC$500,0),"")</f>
        <v/>
      </c>
      <c r="C95" s="2">
        <f>IF(B95="","",INDEX(Lines!$B$2:$B$500,B95)&amp;"")</f>
        <v/>
      </c>
      <c r="D95" s="2">
        <f>IF(B95="","",INDEX(Lines!$C$2:$C$500,B95)&amp;"")</f>
        <v/>
      </c>
      <c r="E95" s="2">
        <f>IF(B95="","",INDEX(Lines!$D$2:$D$500,B95)&amp;"")</f>
        <v/>
      </c>
      <c r="F95" s="2">
        <f>IF(B95="","",INDEX(Lines!$E$2:$E$500,B95)&amp;"")</f>
        <v/>
      </c>
      <c r="G95" s="2">
        <f>IF(B95="","",INDEX(Lines!$G$2:$G$500,B95)&amp;"")</f>
        <v/>
      </c>
      <c r="H95" s="2">
        <f>IF(B95="","",INDEX(Lines!$H$2:$H$500,B95))</f>
        <v/>
      </c>
      <c r="I95" s="2">
        <f>IF(B95="","",INDEX(Lines!$I$2:$I$500,B95))</f>
        <v/>
      </c>
      <c r="J95" s="2">
        <f>IF(B95="","",INDEX(Lines!$J$2:$J$500,B95)&amp;"")</f>
        <v/>
      </c>
      <c r="K95" s="2">
        <f>IF(B95="","",INDEX(Lines!$K$2:$K$500,B95)&amp;"")</f>
        <v/>
      </c>
      <c r="L95" s="2">
        <f>IF(B95="","",INDEX(Lines!$O$2:$O$500,B95)&amp;"")</f>
        <v/>
      </c>
      <c r="M95" s="9">
        <f>IF(B95="","",IF(E95="quote",INDEX(Lines!$N$2:$N$500,B95),""))</f>
        <v/>
      </c>
      <c r="N95" s="9">
        <f>IF(B95="","",IF(E95="quote",IF(INDEX(Lines!$Z$2:$Z$500,B95)=0,"",INDEX(Lines!$Y$2:$Y$500,B95)),INDEX(Lines!$N$2:$N$500,B95)))</f>
        <v/>
      </c>
      <c r="O95" s="9">
        <f>IF(B95="","",N(N95)-N(M95))</f>
        <v/>
      </c>
      <c r="P95" s="2">
        <f>IF(B95="","",INDEX(Lines!$AB$2:$AB$500,B95)&amp;"")</f>
        <v/>
      </c>
      <c r="Q95" s="2">
        <f>IF(B95="","",IFERROR(INDEX(Notes!$F$62:$F$111,MATCH(F95&amp;"|"&amp;I95,Notes!$G$62:$G$111,0)),""))</f>
        <v/>
      </c>
    </row>
    <row r="96">
      <c r="A96" s="2" t="n">
        <v>95</v>
      </c>
      <c r="B96" s="2">
        <f>IFERROR(MATCH(A96,Lines!$AC$2:$AC$500,0),"")</f>
        <v/>
      </c>
      <c r="C96" s="2">
        <f>IF(B96="","",INDEX(Lines!$B$2:$B$500,B96)&amp;"")</f>
        <v/>
      </c>
      <c r="D96" s="2">
        <f>IF(B96="","",INDEX(Lines!$C$2:$C$500,B96)&amp;"")</f>
        <v/>
      </c>
      <c r="E96" s="2">
        <f>IF(B96="","",INDEX(Lines!$D$2:$D$500,B96)&amp;"")</f>
        <v/>
      </c>
      <c r="F96" s="2">
        <f>IF(B96="","",INDEX(Lines!$E$2:$E$500,B96)&amp;"")</f>
        <v/>
      </c>
      <c r="G96" s="2">
        <f>IF(B96="","",INDEX(Lines!$G$2:$G$500,B96)&amp;"")</f>
        <v/>
      </c>
      <c r="H96" s="2">
        <f>IF(B96="","",INDEX(Lines!$H$2:$H$500,B96))</f>
        <v/>
      </c>
      <c r="I96" s="2">
        <f>IF(B96="","",INDEX(Lines!$I$2:$I$500,B96))</f>
        <v/>
      </c>
      <c r="J96" s="2">
        <f>IF(B96="","",INDEX(Lines!$J$2:$J$500,B96)&amp;"")</f>
        <v/>
      </c>
      <c r="K96" s="2">
        <f>IF(B96="","",INDEX(Lines!$K$2:$K$500,B96)&amp;"")</f>
        <v/>
      </c>
      <c r="L96" s="2">
        <f>IF(B96="","",INDEX(Lines!$O$2:$O$500,B96)&amp;"")</f>
        <v/>
      </c>
      <c r="M96" s="9">
        <f>IF(B96="","",IF(E96="quote",INDEX(Lines!$N$2:$N$500,B96),""))</f>
        <v/>
      </c>
      <c r="N96" s="9">
        <f>IF(B96="","",IF(E96="quote",IF(INDEX(Lines!$Z$2:$Z$500,B96)=0,"",INDEX(Lines!$Y$2:$Y$500,B96)),INDEX(Lines!$N$2:$N$500,B96)))</f>
        <v/>
      </c>
      <c r="O96" s="9">
        <f>IF(B96="","",N(N96)-N(M96))</f>
        <v/>
      </c>
      <c r="P96" s="2">
        <f>IF(B96="","",INDEX(Lines!$AB$2:$AB$500,B96)&amp;"")</f>
        <v/>
      </c>
      <c r="Q96" s="2">
        <f>IF(B96="","",IFERROR(INDEX(Notes!$F$62:$F$111,MATCH(F96&amp;"|"&amp;I96,Notes!$G$62:$G$111,0)),""))</f>
        <v/>
      </c>
    </row>
    <row r="97">
      <c r="A97" s="2" t="n">
        <v>96</v>
      </c>
      <c r="B97" s="2">
        <f>IFERROR(MATCH(A97,Lines!$AC$2:$AC$500,0),"")</f>
        <v/>
      </c>
      <c r="C97" s="2">
        <f>IF(B97="","",INDEX(Lines!$B$2:$B$500,B97)&amp;"")</f>
        <v/>
      </c>
      <c r="D97" s="2">
        <f>IF(B97="","",INDEX(Lines!$C$2:$C$500,B97)&amp;"")</f>
        <v/>
      </c>
      <c r="E97" s="2">
        <f>IF(B97="","",INDEX(Lines!$D$2:$D$500,B97)&amp;"")</f>
        <v/>
      </c>
      <c r="F97" s="2">
        <f>IF(B97="","",INDEX(Lines!$E$2:$E$500,B97)&amp;"")</f>
        <v/>
      </c>
      <c r="G97" s="2">
        <f>IF(B97="","",INDEX(Lines!$G$2:$G$500,B97)&amp;"")</f>
        <v/>
      </c>
      <c r="H97" s="2">
        <f>IF(B97="","",INDEX(Lines!$H$2:$H$500,B97))</f>
        <v/>
      </c>
      <c r="I97" s="2">
        <f>IF(B97="","",INDEX(Lines!$I$2:$I$500,B97))</f>
        <v/>
      </c>
      <c r="J97" s="2">
        <f>IF(B97="","",INDEX(Lines!$J$2:$J$500,B97)&amp;"")</f>
        <v/>
      </c>
      <c r="K97" s="2">
        <f>IF(B97="","",INDEX(Lines!$K$2:$K$500,B97)&amp;"")</f>
        <v/>
      </c>
      <c r="L97" s="2">
        <f>IF(B97="","",INDEX(Lines!$O$2:$O$500,B97)&amp;"")</f>
        <v/>
      </c>
      <c r="M97" s="9">
        <f>IF(B97="","",IF(E97="quote",INDEX(Lines!$N$2:$N$500,B97),""))</f>
        <v/>
      </c>
      <c r="N97" s="9">
        <f>IF(B97="","",IF(E97="quote",IF(INDEX(Lines!$Z$2:$Z$500,B97)=0,"",INDEX(Lines!$Y$2:$Y$500,B97)),INDEX(Lines!$N$2:$N$500,B97)))</f>
        <v/>
      </c>
      <c r="O97" s="9">
        <f>IF(B97="","",N(N97)-N(M97))</f>
        <v/>
      </c>
      <c r="P97" s="2">
        <f>IF(B97="","",INDEX(Lines!$AB$2:$AB$500,B97)&amp;"")</f>
        <v/>
      </c>
      <c r="Q97" s="2">
        <f>IF(B97="","",IFERROR(INDEX(Notes!$F$62:$F$111,MATCH(F97&amp;"|"&amp;I97,Notes!$G$62:$G$111,0)),""))</f>
        <v/>
      </c>
    </row>
    <row r="98">
      <c r="A98" s="2" t="n">
        <v>97</v>
      </c>
      <c r="B98" s="2">
        <f>IFERROR(MATCH(A98,Lines!$AC$2:$AC$500,0),"")</f>
        <v/>
      </c>
      <c r="C98" s="2">
        <f>IF(B98="","",INDEX(Lines!$B$2:$B$500,B98)&amp;"")</f>
        <v/>
      </c>
      <c r="D98" s="2">
        <f>IF(B98="","",INDEX(Lines!$C$2:$C$500,B98)&amp;"")</f>
        <v/>
      </c>
      <c r="E98" s="2">
        <f>IF(B98="","",INDEX(Lines!$D$2:$D$500,B98)&amp;"")</f>
        <v/>
      </c>
      <c r="F98" s="2">
        <f>IF(B98="","",INDEX(Lines!$E$2:$E$500,B98)&amp;"")</f>
        <v/>
      </c>
      <c r="G98" s="2">
        <f>IF(B98="","",INDEX(Lines!$G$2:$G$500,B98)&amp;"")</f>
        <v/>
      </c>
      <c r="H98" s="2">
        <f>IF(B98="","",INDEX(Lines!$H$2:$H$500,B98))</f>
        <v/>
      </c>
      <c r="I98" s="2">
        <f>IF(B98="","",INDEX(Lines!$I$2:$I$500,B98))</f>
        <v/>
      </c>
      <c r="J98" s="2">
        <f>IF(B98="","",INDEX(Lines!$J$2:$J$500,B98)&amp;"")</f>
        <v/>
      </c>
      <c r="K98" s="2">
        <f>IF(B98="","",INDEX(Lines!$K$2:$K$500,B98)&amp;"")</f>
        <v/>
      </c>
      <c r="L98" s="2">
        <f>IF(B98="","",INDEX(Lines!$O$2:$O$500,B98)&amp;"")</f>
        <v/>
      </c>
      <c r="M98" s="9">
        <f>IF(B98="","",IF(E98="quote",INDEX(Lines!$N$2:$N$500,B98),""))</f>
        <v/>
      </c>
      <c r="N98" s="9">
        <f>IF(B98="","",IF(E98="quote",IF(INDEX(Lines!$Z$2:$Z$500,B98)=0,"",INDEX(Lines!$Y$2:$Y$500,B98)),INDEX(Lines!$N$2:$N$500,B98)))</f>
        <v/>
      </c>
      <c r="O98" s="9">
        <f>IF(B98="","",N(N98)-N(M98))</f>
        <v/>
      </c>
      <c r="P98" s="2">
        <f>IF(B98="","",INDEX(Lines!$AB$2:$AB$500,B98)&amp;"")</f>
        <v/>
      </c>
      <c r="Q98" s="2">
        <f>IF(B98="","",IFERROR(INDEX(Notes!$F$62:$F$111,MATCH(F98&amp;"|"&amp;I98,Notes!$G$62:$G$111,0)),""))</f>
        <v/>
      </c>
    </row>
    <row r="99">
      <c r="A99" s="2" t="n">
        <v>98</v>
      </c>
      <c r="B99" s="2">
        <f>IFERROR(MATCH(A99,Lines!$AC$2:$AC$500,0),"")</f>
        <v/>
      </c>
      <c r="C99" s="2">
        <f>IF(B99="","",INDEX(Lines!$B$2:$B$500,B99)&amp;"")</f>
        <v/>
      </c>
      <c r="D99" s="2">
        <f>IF(B99="","",INDEX(Lines!$C$2:$C$500,B99)&amp;"")</f>
        <v/>
      </c>
      <c r="E99" s="2">
        <f>IF(B99="","",INDEX(Lines!$D$2:$D$500,B99)&amp;"")</f>
        <v/>
      </c>
      <c r="F99" s="2">
        <f>IF(B99="","",INDEX(Lines!$E$2:$E$500,B99)&amp;"")</f>
        <v/>
      </c>
      <c r="G99" s="2">
        <f>IF(B99="","",INDEX(Lines!$G$2:$G$500,B99)&amp;"")</f>
        <v/>
      </c>
      <c r="H99" s="2">
        <f>IF(B99="","",INDEX(Lines!$H$2:$H$500,B99))</f>
        <v/>
      </c>
      <c r="I99" s="2">
        <f>IF(B99="","",INDEX(Lines!$I$2:$I$500,B99))</f>
        <v/>
      </c>
      <c r="J99" s="2">
        <f>IF(B99="","",INDEX(Lines!$J$2:$J$500,B99)&amp;"")</f>
        <v/>
      </c>
      <c r="K99" s="2">
        <f>IF(B99="","",INDEX(Lines!$K$2:$K$500,B99)&amp;"")</f>
        <v/>
      </c>
      <c r="L99" s="2">
        <f>IF(B99="","",INDEX(Lines!$O$2:$O$500,B99)&amp;"")</f>
        <v/>
      </c>
      <c r="M99" s="9">
        <f>IF(B99="","",IF(E99="quote",INDEX(Lines!$N$2:$N$500,B99),""))</f>
        <v/>
      </c>
      <c r="N99" s="9">
        <f>IF(B99="","",IF(E99="quote",IF(INDEX(Lines!$Z$2:$Z$500,B99)=0,"",INDEX(Lines!$Y$2:$Y$500,B99)),INDEX(Lines!$N$2:$N$500,B99)))</f>
        <v/>
      </c>
      <c r="O99" s="9">
        <f>IF(B99="","",N(N99)-N(M99))</f>
        <v/>
      </c>
      <c r="P99" s="2">
        <f>IF(B99="","",INDEX(Lines!$AB$2:$AB$500,B99)&amp;"")</f>
        <v/>
      </c>
      <c r="Q99" s="2">
        <f>IF(B99="","",IFERROR(INDEX(Notes!$F$62:$F$111,MATCH(F99&amp;"|"&amp;I99,Notes!$G$62:$G$111,0)),""))</f>
        <v/>
      </c>
    </row>
    <row r="100">
      <c r="A100" s="2" t="n">
        <v>99</v>
      </c>
      <c r="B100" s="2">
        <f>IFERROR(MATCH(A100,Lines!$AC$2:$AC$500,0),"")</f>
        <v/>
      </c>
      <c r="C100" s="2">
        <f>IF(B100="","",INDEX(Lines!$B$2:$B$500,B100)&amp;"")</f>
        <v/>
      </c>
      <c r="D100" s="2">
        <f>IF(B100="","",INDEX(Lines!$C$2:$C$500,B100)&amp;"")</f>
        <v/>
      </c>
      <c r="E100" s="2">
        <f>IF(B100="","",INDEX(Lines!$D$2:$D$500,B100)&amp;"")</f>
        <v/>
      </c>
      <c r="F100" s="2">
        <f>IF(B100="","",INDEX(Lines!$E$2:$E$500,B100)&amp;"")</f>
        <v/>
      </c>
      <c r="G100" s="2">
        <f>IF(B100="","",INDEX(Lines!$G$2:$G$500,B100)&amp;"")</f>
        <v/>
      </c>
      <c r="H100" s="2">
        <f>IF(B100="","",INDEX(Lines!$H$2:$H$500,B100))</f>
        <v/>
      </c>
      <c r="I100" s="2">
        <f>IF(B100="","",INDEX(Lines!$I$2:$I$500,B100))</f>
        <v/>
      </c>
      <c r="J100" s="2">
        <f>IF(B100="","",INDEX(Lines!$J$2:$J$500,B100)&amp;"")</f>
        <v/>
      </c>
      <c r="K100" s="2">
        <f>IF(B100="","",INDEX(Lines!$K$2:$K$500,B100)&amp;"")</f>
        <v/>
      </c>
      <c r="L100" s="2">
        <f>IF(B100="","",INDEX(Lines!$O$2:$O$500,B100)&amp;"")</f>
        <v/>
      </c>
      <c r="M100" s="9">
        <f>IF(B100="","",IF(E100="quote",INDEX(Lines!$N$2:$N$500,B100),""))</f>
        <v/>
      </c>
      <c r="N100" s="9">
        <f>IF(B100="","",IF(E100="quote",IF(INDEX(Lines!$Z$2:$Z$500,B100)=0,"",INDEX(Lines!$Y$2:$Y$500,B100)),INDEX(Lines!$N$2:$N$500,B100)))</f>
        <v/>
      </c>
      <c r="O100" s="9">
        <f>IF(B100="","",N(N100)-N(M100))</f>
        <v/>
      </c>
      <c r="P100" s="2">
        <f>IF(B100="","",INDEX(Lines!$AB$2:$AB$500,B100)&amp;"")</f>
        <v/>
      </c>
      <c r="Q100" s="2">
        <f>IF(B100="","",IFERROR(INDEX(Notes!$F$62:$F$111,MATCH(F100&amp;"|"&amp;I100,Notes!$G$62:$G$111,0)),""))</f>
        <v/>
      </c>
    </row>
    <row r="101">
      <c r="A101" s="2" t="n">
        <v>100</v>
      </c>
      <c r="B101" s="2">
        <f>IFERROR(MATCH(A101,Lines!$AC$2:$AC$500,0),"")</f>
        <v/>
      </c>
      <c r="C101" s="2">
        <f>IF(B101="","",INDEX(Lines!$B$2:$B$500,B101)&amp;"")</f>
        <v/>
      </c>
      <c r="D101" s="2">
        <f>IF(B101="","",INDEX(Lines!$C$2:$C$500,B101)&amp;"")</f>
        <v/>
      </c>
      <c r="E101" s="2">
        <f>IF(B101="","",INDEX(Lines!$D$2:$D$500,B101)&amp;"")</f>
        <v/>
      </c>
      <c r="F101" s="2">
        <f>IF(B101="","",INDEX(Lines!$E$2:$E$500,B101)&amp;"")</f>
        <v/>
      </c>
      <c r="G101" s="2">
        <f>IF(B101="","",INDEX(Lines!$G$2:$G$500,B101)&amp;"")</f>
        <v/>
      </c>
      <c r="H101" s="2">
        <f>IF(B101="","",INDEX(Lines!$H$2:$H$500,B101))</f>
        <v/>
      </c>
      <c r="I101" s="2">
        <f>IF(B101="","",INDEX(Lines!$I$2:$I$500,B101))</f>
        <v/>
      </c>
      <c r="J101" s="2">
        <f>IF(B101="","",INDEX(Lines!$J$2:$J$500,B101)&amp;"")</f>
        <v/>
      </c>
      <c r="K101" s="2">
        <f>IF(B101="","",INDEX(Lines!$K$2:$K$500,B101)&amp;"")</f>
        <v/>
      </c>
      <c r="L101" s="2">
        <f>IF(B101="","",INDEX(Lines!$O$2:$O$500,B101)&amp;"")</f>
        <v/>
      </c>
      <c r="M101" s="9">
        <f>IF(B101="","",IF(E101="quote",INDEX(Lines!$N$2:$N$500,B101),""))</f>
        <v/>
      </c>
      <c r="N101" s="9">
        <f>IF(B101="","",IF(E101="quote",IF(INDEX(Lines!$Z$2:$Z$500,B101)=0,"",INDEX(Lines!$Y$2:$Y$500,B101)),INDEX(Lines!$N$2:$N$500,B101)))</f>
        <v/>
      </c>
      <c r="O101" s="9">
        <f>IF(B101="","",N(N101)-N(M101))</f>
        <v/>
      </c>
      <c r="P101" s="2">
        <f>IF(B101="","",INDEX(Lines!$AB$2:$AB$500,B101)&amp;"")</f>
        <v/>
      </c>
      <c r="Q101" s="2">
        <f>IF(B101="","",IFERROR(INDEX(Notes!$F$62:$F$111,MATCH(F101&amp;"|"&amp;I101,Notes!$G$62:$G$111,0)),""))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6" customWidth="1" min="3" max="3"/>
    <col width="7" customWidth="1" min="4" max="4"/>
    <col width="30" customWidth="1" min="5" max="5"/>
    <col width="70" customWidth="1" min="6" max="6"/>
  </cols>
  <sheetData>
    <row r="1">
      <c r="A1" s="5" t="inlineStr">
        <is>
          <t>seq</t>
        </is>
      </c>
      <c r="B1" s="5" t="inlineStr">
        <is>
          <t>doc_id</t>
        </is>
      </c>
      <c r="C1" s="5" t="inlineStr">
        <is>
          <t>page</t>
        </is>
      </c>
      <c r="D1" s="5" t="inlineStr">
        <is>
          <t>line_no</t>
        </is>
      </c>
      <c r="E1" s="5" t="inlineStr">
        <is>
          <t>label_as_printed</t>
        </is>
      </c>
      <c r="F1" s="5" t="inlineStr">
        <is>
          <t>reason</t>
        </is>
      </c>
    </row>
    <row r="2">
      <c r="A2" s="2" t="n">
        <v>1</v>
      </c>
      <c r="B2" s="2">
        <f>IF(A2&lt;=COUNT(Lines!$AE$2:$AE$500),IFERROR(INDEX(Lines!$E$2:$E$500,MATCH(A2,Lines!$AE$2:$AE$500,0))&amp;"",""),IFERROR(INDEX(Docs!$C$2:$C$51,MATCH(A2-COUNT(Lines!$AE$2:$AE$500),Docs!$AD$2:$AD$51,0))&amp;"",""))</f>
        <v/>
      </c>
      <c r="C2" s="2">
        <f>IF(A2&lt;=COUNT(Lines!$AE$2:$AE$500),IFERROR(INDEX(Lines!$H$2:$H$500,MATCH(A2,Lines!$AE$2:$AE$500,0)),""),IFERROR("",""))</f>
        <v/>
      </c>
      <c r="D2" s="2">
        <f>IF(A2&lt;=COUNT(Lines!$AE$2:$AE$500),IFERROR(INDEX(Lines!$I$2:$I$500,MATCH(A2,Lines!$AE$2:$AE$500,0)),""),IFERROR("",""))</f>
        <v/>
      </c>
      <c r="E2" s="2">
        <f>IF(A2&lt;=COUNT(Lines!$AE$2:$AE$500),IFERROR(INDEX(Lines!$J$2:$J$500,MATCH(A2,Lines!$AE$2:$AE$500,0))&amp;"",""),IFERROR("",""))</f>
        <v/>
      </c>
      <c r="F2" s="2">
        <f>IF(A2&lt;=COUNT(Lines!$AE$2:$AE$500),IFERROR(INDEX(Lines!$AD$2:$AD$500,MATCH(A2,Lines!$AE$2:$AE$500,0))&amp;"",""),IFERROR(INDEX(Docs!$AC$2:$AC$51,MATCH(A2-COUNT(Lines!$AE$2:$AE$500),Docs!$AD$2:$AD$51,0))&amp;"",""))</f>
        <v/>
      </c>
    </row>
    <row r="3">
      <c r="A3" s="2" t="n">
        <v>2</v>
      </c>
      <c r="B3" s="2">
        <f>IF(A3&lt;=COUNT(Lines!$AE$2:$AE$500),IFERROR(INDEX(Lines!$E$2:$E$500,MATCH(A3,Lines!$AE$2:$AE$500,0))&amp;"",""),IFERROR(INDEX(Docs!$C$2:$C$51,MATCH(A3-COUNT(Lines!$AE$2:$AE$500),Docs!$AD$2:$AD$51,0))&amp;"",""))</f>
        <v/>
      </c>
      <c r="C3" s="2">
        <f>IF(A3&lt;=COUNT(Lines!$AE$2:$AE$500),IFERROR(INDEX(Lines!$H$2:$H$500,MATCH(A3,Lines!$AE$2:$AE$500,0)),""),IFERROR("",""))</f>
        <v/>
      </c>
      <c r="D3" s="2">
        <f>IF(A3&lt;=COUNT(Lines!$AE$2:$AE$500),IFERROR(INDEX(Lines!$I$2:$I$500,MATCH(A3,Lines!$AE$2:$AE$500,0)),""),IFERROR("",""))</f>
        <v/>
      </c>
      <c r="E3" s="2">
        <f>IF(A3&lt;=COUNT(Lines!$AE$2:$AE$500),IFERROR(INDEX(Lines!$J$2:$J$500,MATCH(A3,Lines!$AE$2:$AE$500,0))&amp;"",""),IFERROR("",""))</f>
        <v/>
      </c>
      <c r="F3" s="2">
        <f>IF(A3&lt;=COUNT(Lines!$AE$2:$AE$500),IFERROR(INDEX(Lines!$AD$2:$AD$500,MATCH(A3,Lines!$AE$2:$AE$500,0))&amp;"",""),IFERROR(INDEX(Docs!$AC$2:$AC$51,MATCH(A3-COUNT(Lines!$AE$2:$AE$500),Docs!$AD$2:$AD$51,0))&amp;"",""))</f>
        <v/>
      </c>
    </row>
    <row r="4">
      <c r="A4" s="2" t="n">
        <v>3</v>
      </c>
      <c r="B4" s="2">
        <f>IF(A4&lt;=COUNT(Lines!$AE$2:$AE$500),IFERROR(INDEX(Lines!$E$2:$E$500,MATCH(A4,Lines!$AE$2:$AE$500,0))&amp;"",""),IFERROR(INDEX(Docs!$C$2:$C$51,MATCH(A4-COUNT(Lines!$AE$2:$AE$500),Docs!$AD$2:$AD$51,0))&amp;"",""))</f>
        <v/>
      </c>
      <c r="C4" s="2">
        <f>IF(A4&lt;=COUNT(Lines!$AE$2:$AE$500),IFERROR(INDEX(Lines!$H$2:$H$500,MATCH(A4,Lines!$AE$2:$AE$500,0)),""),IFERROR("",""))</f>
        <v/>
      </c>
      <c r="D4" s="2">
        <f>IF(A4&lt;=COUNT(Lines!$AE$2:$AE$500),IFERROR(INDEX(Lines!$I$2:$I$500,MATCH(A4,Lines!$AE$2:$AE$500,0)),""),IFERROR("",""))</f>
        <v/>
      </c>
      <c r="E4" s="2">
        <f>IF(A4&lt;=COUNT(Lines!$AE$2:$AE$500),IFERROR(INDEX(Lines!$J$2:$J$500,MATCH(A4,Lines!$AE$2:$AE$500,0))&amp;"",""),IFERROR("",""))</f>
        <v/>
      </c>
      <c r="F4" s="2">
        <f>IF(A4&lt;=COUNT(Lines!$AE$2:$AE$500),IFERROR(INDEX(Lines!$AD$2:$AD$500,MATCH(A4,Lines!$AE$2:$AE$500,0))&amp;"",""),IFERROR(INDEX(Docs!$AC$2:$AC$51,MATCH(A4-COUNT(Lines!$AE$2:$AE$500),Docs!$AD$2:$AD$51,0))&amp;"",""))</f>
        <v/>
      </c>
    </row>
    <row r="5">
      <c r="A5" s="2" t="n">
        <v>4</v>
      </c>
      <c r="B5" s="2">
        <f>IF(A5&lt;=COUNT(Lines!$AE$2:$AE$500),IFERROR(INDEX(Lines!$E$2:$E$500,MATCH(A5,Lines!$AE$2:$AE$500,0))&amp;"",""),IFERROR(INDEX(Docs!$C$2:$C$51,MATCH(A5-COUNT(Lines!$AE$2:$AE$500),Docs!$AD$2:$AD$51,0))&amp;"",""))</f>
        <v/>
      </c>
      <c r="C5" s="2">
        <f>IF(A5&lt;=COUNT(Lines!$AE$2:$AE$500),IFERROR(INDEX(Lines!$H$2:$H$500,MATCH(A5,Lines!$AE$2:$AE$500,0)),""),IFERROR("",""))</f>
        <v/>
      </c>
      <c r="D5" s="2">
        <f>IF(A5&lt;=COUNT(Lines!$AE$2:$AE$500),IFERROR(INDEX(Lines!$I$2:$I$500,MATCH(A5,Lines!$AE$2:$AE$500,0)),""),IFERROR("",""))</f>
        <v/>
      </c>
      <c r="E5" s="2">
        <f>IF(A5&lt;=COUNT(Lines!$AE$2:$AE$500),IFERROR(INDEX(Lines!$J$2:$J$500,MATCH(A5,Lines!$AE$2:$AE$500,0))&amp;"",""),IFERROR("",""))</f>
        <v/>
      </c>
      <c r="F5" s="2">
        <f>IF(A5&lt;=COUNT(Lines!$AE$2:$AE$500),IFERROR(INDEX(Lines!$AD$2:$AD$500,MATCH(A5,Lines!$AE$2:$AE$500,0))&amp;"",""),IFERROR(INDEX(Docs!$AC$2:$AC$51,MATCH(A5-COUNT(Lines!$AE$2:$AE$500),Docs!$AD$2:$AD$51,0))&amp;"",""))</f>
        <v/>
      </c>
    </row>
    <row r="6">
      <c r="A6" s="2" t="n">
        <v>5</v>
      </c>
      <c r="B6" s="2">
        <f>IF(A6&lt;=COUNT(Lines!$AE$2:$AE$500),IFERROR(INDEX(Lines!$E$2:$E$500,MATCH(A6,Lines!$AE$2:$AE$500,0))&amp;"",""),IFERROR(INDEX(Docs!$C$2:$C$51,MATCH(A6-COUNT(Lines!$AE$2:$AE$500),Docs!$AD$2:$AD$51,0))&amp;"",""))</f>
        <v/>
      </c>
      <c r="C6" s="2">
        <f>IF(A6&lt;=COUNT(Lines!$AE$2:$AE$500),IFERROR(INDEX(Lines!$H$2:$H$500,MATCH(A6,Lines!$AE$2:$AE$500,0)),""),IFERROR("",""))</f>
        <v/>
      </c>
      <c r="D6" s="2">
        <f>IF(A6&lt;=COUNT(Lines!$AE$2:$AE$500),IFERROR(INDEX(Lines!$I$2:$I$500,MATCH(A6,Lines!$AE$2:$AE$500,0)),""),IFERROR("",""))</f>
        <v/>
      </c>
      <c r="E6" s="2">
        <f>IF(A6&lt;=COUNT(Lines!$AE$2:$AE$500),IFERROR(INDEX(Lines!$J$2:$J$500,MATCH(A6,Lines!$AE$2:$AE$500,0))&amp;"",""),IFERROR("",""))</f>
        <v/>
      </c>
      <c r="F6" s="2">
        <f>IF(A6&lt;=COUNT(Lines!$AE$2:$AE$500),IFERROR(INDEX(Lines!$AD$2:$AD$500,MATCH(A6,Lines!$AE$2:$AE$500,0))&amp;"",""),IFERROR(INDEX(Docs!$AC$2:$AC$51,MATCH(A6-COUNT(Lines!$AE$2:$AE$500),Docs!$AD$2:$AD$51,0))&amp;"",""))</f>
        <v/>
      </c>
    </row>
    <row r="7">
      <c r="A7" s="2" t="n">
        <v>6</v>
      </c>
      <c r="B7" s="2">
        <f>IF(A7&lt;=COUNT(Lines!$AE$2:$AE$500),IFERROR(INDEX(Lines!$E$2:$E$500,MATCH(A7,Lines!$AE$2:$AE$500,0))&amp;"",""),IFERROR(INDEX(Docs!$C$2:$C$51,MATCH(A7-COUNT(Lines!$AE$2:$AE$500),Docs!$AD$2:$AD$51,0))&amp;"",""))</f>
        <v/>
      </c>
      <c r="C7" s="2">
        <f>IF(A7&lt;=COUNT(Lines!$AE$2:$AE$500),IFERROR(INDEX(Lines!$H$2:$H$500,MATCH(A7,Lines!$AE$2:$AE$500,0)),""),IFERROR("",""))</f>
        <v/>
      </c>
      <c r="D7" s="2">
        <f>IF(A7&lt;=COUNT(Lines!$AE$2:$AE$500),IFERROR(INDEX(Lines!$I$2:$I$500,MATCH(A7,Lines!$AE$2:$AE$500,0)),""),IFERROR("",""))</f>
        <v/>
      </c>
      <c r="E7" s="2">
        <f>IF(A7&lt;=COUNT(Lines!$AE$2:$AE$500),IFERROR(INDEX(Lines!$J$2:$J$500,MATCH(A7,Lines!$AE$2:$AE$500,0))&amp;"",""),IFERROR("",""))</f>
        <v/>
      </c>
      <c r="F7" s="2">
        <f>IF(A7&lt;=COUNT(Lines!$AE$2:$AE$500),IFERROR(INDEX(Lines!$AD$2:$AD$500,MATCH(A7,Lines!$AE$2:$AE$500,0))&amp;"",""),IFERROR(INDEX(Docs!$AC$2:$AC$51,MATCH(A7-COUNT(Lines!$AE$2:$AE$500),Docs!$AD$2:$AD$51,0))&amp;"",""))</f>
        <v/>
      </c>
    </row>
    <row r="8">
      <c r="A8" s="2" t="n">
        <v>7</v>
      </c>
      <c r="B8" s="2">
        <f>IF(A8&lt;=COUNT(Lines!$AE$2:$AE$500),IFERROR(INDEX(Lines!$E$2:$E$500,MATCH(A8,Lines!$AE$2:$AE$500,0))&amp;"",""),IFERROR(INDEX(Docs!$C$2:$C$51,MATCH(A8-COUNT(Lines!$AE$2:$AE$500),Docs!$AD$2:$AD$51,0))&amp;"",""))</f>
        <v/>
      </c>
      <c r="C8" s="2">
        <f>IF(A8&lt;=COUNT(Lines!$AE$2:$AE$500),IFERROR(INDEX(Lines!$H$2:$H$500,MATCH(A8,Lines!$AE$2:$AE$500,0)),""),IFERROR("",""))</f>
        <v/>
      </c>
      <c r="D8" s="2">
        <f>IF(A8&lt;=COUNT(Lines!$AE$2:$AE$500),IFERROR(INDEX(Lines!$I$2:$I$500,MATCH(A8,Lines!$AE$2:$AE$500,0)),""),IFERROR("",""))</f>
        <v/>
      </c>
      <c r="E8" s="2">
        <f>IF(A8&lt;=COUNT(Lines!$AE$2:$AE$500),IFERROR(INDEX(Lines!$J$2:$J$500,MATCH(A8,Lines!$AE$2:$AE$500,0))&amp;"",""),IFERROR("",""))</f>
        <v/>
      </c>
      <c r="F8" s="2">
        <f>IF(A8&lt;=COUNT(Lines!$AE$2:$AE$500),IFERROR(INDEX(Lines!$AD$2:$AD$500,MATCH(A8,Lines!$AE$2:$AE$500,0))&amp;"",""),IFERROR(INDEX(Docs!$AC$2:$AC$51,MATCH(A8-COUNT(Lines!$AE$2:$AE$500),Docs!$AD$2:$AD$51,0))&amp;"",""))</f>
        <v/>
      </c>
    </row>
    <row r="9">
      <c r="A9" s="2" t="n">
        <v>8</v>
      </c>
      <c r="B9" s="2">
        <f>IF(A9&lt;=COUNT(Lines!$AE$2:$AE$500),IFERROR(INDEX(Lines!$E$2:$E$500,MATCH(A9,Lines!$AE$2:$AE$500,0))&amp;"",""),IFERROR(INDEX(Docs!$C$2:$C$51,MATCH(A9-COUNT(Lines!$AE$2:$AE$500),Docs!$AD$2:$AD$51,0))&amp;"",""))</f>
        <v/>
      </c>
      <c r="C9" s="2">
        <f>IF(A9&lt;=COUNT(Lines!$AE$2:$AE$500),IFERROR(INDEX(Lines!$H$2:$H$500,MATCH(A9,Lines!$AE$2:$AE$500,0)),""),IFERROR("",""))</f>
        <v/>
      </c>
      <c r="D9" s="2">
        <f>IF(A9&lt;=COUNT(Lines!$AE$2:$AE$500),IFERROR(INDEX(Lines!$I$2:$I$500,MATCH(A9,Lines!$AE$2:$AE$500,0)),""),IFERROR("",""))</f>
        <v/>
      </c>
      <c r="E9" s="2">
        <f>IF(A9&lt;=COUNT(Lines!$AE$2:$AE$500),IFERROR(INDEX(Lines!$J$2:$J$500,MATCH(A9,Lines!$AE$2:$AE$500,0))&amp;"",""),IFERROR("",""))</f>
        <v/>
      </c>
      <c r="F9" s="2">
        <f>IF(A9&lt;=COUNT(Lines!$AE$2:$AE$500),IFERROR(INDEX(Lines!$AD$2:$AD$500,MATCH(A9,Lines!$AE$2:$AE$500,0))&amp;"",""),IFERROR(INDEX(Docs!$AC$2:$AC$51,MATCH(A9-COUNT(Lines!$AE$2:$AE$500),Docs!$AD$2:$AD$51,0))&amp;"",""))</f>
        <v/>
      </c>
    </row>
    <row r="10">
      <c r="A10" s="2" t="n">
        <v>9</v>
      </c>
      <c r="B10" s="2">
        <f>IF(A10&lt;=COUNT(Lines!$AE$2:$AE$500),IFERROR(INDEX(Lines!$E$2:$E$500,MATCH(A10,Lines!$AE$2:$AE$500,0))&amp;"",""),IFERROR(INDEX(Docs!$C$2:$C$51,MATCH(A10-COUNT(Lines!$AE$2:$AE$500),Docs!$AD$2:$AD$51,0))&amp;"",""))</f>
        <v/>
      </c>
      <c r="C10" s="2">
        <f>IF(A10&lt;=COUNT(Lines!$AE$2:$AE$500),IFERROR(INDEX(Lines!$H$2:$H$500,MATCH(A10,Lines!$AE$2:$AE$500,0)),""),IFERROR("",""))</f>
        <v/>
      </c>
      <c r="D10" s="2">
        <f>IF(A10&lt;=COUNT(Lines!$AE$2:$AE$500),IFERROR(INDEX(Lines!$I$2:$I$500,MATCH(A10,Lines!$AE$2:$AE$500,0)),""),IFERROR("",""))</f>
        <v/>
      </c>
      <c r="E10" s="2">
        <f>IF(A10&lt;=COUNT(Lines!$AE$2:$AE$500),IFERROR(INDEX(Lines!$J$2:$J$500,MATCH(A10,Lines!$AE$2:$AE$500,0))&amp;"",""),IFERROR("",""))</f>
        <v/>
      </c>
      <c r="F10" s="2">
        <f>IF(A10&lt;=COUNT(Lines!$AE$2:$AE$500),IFERROR(INDEX(Lines!$AD$2:$AD$500,MATCH(A10,Lines!$AE$2:$AE$500,0))&amp;"",""),IFERROR(INDEX(Docs!$AC$2:$AC$51,MATCH(A10-COUNT(Lines!$AE$2:$AE$500),Docs!$AD$2:$AD$51,0))&amp;"",""))</f>
        <v/>
      </c>
    </row>
    <row r="11">
      <c r="A11" s="2" t="n">
        <v>10</v>
      </c>
      <c r="B11" s="2">
        <f>IF(A11&lt;=COUNT(Lines!$AE$2:$AE$500),IFERROR(INDEX(Lines!$E$2:$E$500,MATCH(A11,Lines!$AE$2:$AE$500,0))&amp;"",""),IFERROR(INDEX(Docs!$C$2:$C$51,MATCH(A11-COUNT(Lines!$AE$2:$AE$500),Docs!$AD$2:$AD$51,0))&amp;"",""))</f>
        <v/>
      </c>
      <c r="C11" s="2">
        <f>IF(A11&lt;=COUNT(Lines!$AE$2:$AE$500),IFERROR(INDEX(Lines!$H$2:$H$500,MATCH(A11,Lines!$AE$2:$AE$500,0)),""),IFERROR("",""))</f>
        <v/>
      </c>
      <c r="D11" s="2">
        <f>IF(A11&lt;=COUNT(Lines!$AE$2:$AE$500),IFERROR(INDEX(Lines!$I$2:$I$500,MATCH(A11,Lines!$AE$2:$AE$500,0)),""),IFERROR("",""))</f>
        <v/>
      </c>
      <c r="E11" s="2">
        <f>IF(A11&lt;=COUNT(Lines!$AE$2:$AE$500),IFERROR(INDEX(Lines!$J$2:$J$500,MATCH(A11,Lines!$AE$2:$AE$500,0))&amp;"",""),IFERROR("",""))</f>
        <v/>
      </c>
      <c r="F11" s="2">
        <f>IF(A11&lt;=COUNT(Lines!$AE$2:$AE$500),IFERROR(INDEX(Lines!$AD$2:$AD$500,MATCH(A11,Lines!$AE$2:$AE$500,0))&amp;"",""),IFERROR(INDEX(Docs!$AC$2:$AC$51,MATCH(A11-COUNT(Lines!$AE$2:$AE$500),Docs!$AD$2:$AD$51,0))&amp;"",""))</f>
        <v/>
      </c>
    </row>
    <row r="12">
      <c r="A12" s="2" t="n">
        <v>11</v>
      </c>
      <c r="B12" s="2">
        <f>IF(A12&lt;=COUNT(Lines!$AE$2:$AE$500),IFERROR(INDEX(Lines!$E$2:$E$500,MATCH(A12,Lines!$AE$2:$AE$500,0))&amp;"",""),IFERROR(INDEX(Docs!$C$2:$C$51,MATCH(A12-COUNT(Lines!$AE$2:$AE$500),Docs!$AD$2:$AD$51,0))&amp;"",""))</f>
        <v/>
      </c>
      <c r="C12" s="2">
        <f>IF(A12&lt;=COUNT(Lines!$AE$2:$AE$500),IFERROR(INDEX(Lines!$H$2:$H$500,MATCH(A12,Lines!$AE$2:$AE$500,0)),""),IFERROR("",""))</f>
        <v/>
      </c>
      <c r="D12" s="2">
        <f>IF(A12&lt;=COUNT(Lines!$AE$2:$AE$500),IFERROR(INDEX(Lines!$I$2:$I$500,MATCH(A12,Lines!$AE$2:$AE$500,0)),""),IFERROR("",""))</f>
        <v/>
      </c>
      <c r="E12" s="2">
        <f>IF(A12&lt;=COUNT(Lines!$AE$2:$AE$500),IFERROR(INDEX(Lines!$J$2:$J$500,MATCH(A12,Lines!$AE$2:$AE$500,0))&amp;"",""),IFERROR("",""))</f>
        <v/>
      </c>
      <c r="F12" s="2">
        <f>IF(A12&lt;=COUNT(Lines!$AE$2:$AE$500),IFERROR(INDEX(Lines!$AD$2:$AD$500,MATCH(A12,Lines!$AE$2:$AE$500,0))&amp;"",""),IFERROR(INDEX(Docs!$AC$2:$AC$51,MATCH(A12-COUNT(Lines!$AE$2:$AE$500),Docs!$AD$2:$AD$51,0))&amp;"",""))</f>
        <v/>
      </c>
    </row>
    <row r="13">
      <c r="A13" s="2" t="n">
        <v>12</v>
      </c>
      <c r="B13" s="2">
        <f>IF(A13&lt;=COUNT(Lines!$AE$2:$AE$500),IFERROR(INDEX(Lines!$E$2:$E$500,MATCH(A13,Lines!$AE$2:$AE$500,0))&amp;"",""),IFERROR(INDEX(Docs!$C$2:$C$51,MATCH(A13-COUNT(Lines!$AE$2:$AE$500),Docs!$AD$2:$AD$51,0))&amp;"",""))</f>
        <v/>
      </c>
      <c r="C13" s="2">
        <f>IF(A13&lt;=COUNT(Lines!$AE$2:$AE$500),IFERROR(INDEX(Lines!$H$2:$H$500,MATCH(A13,Lines!$AE$2:$AE$500,0)),""),IFERROR("",""))</f>
        <v/>
      </c>
      <c r="D13" s="2">
        <f>IF(A13&lt;=COUNT(Lines!$AE$2:$AE$500),IFERROR(INDEX(Lines!$I$2:$I$500,MATCH(A13,Lines!$AE$2:$AE$500,0)),""),IFERROR("",""))</f>
        <v/>
      </c>
      <c r="E13" s="2">
        <f>IF(A13&lt;=COUNT(Lines!$AE$2:$AE$500),IFERROR(INDEX(Lines!$J$2:$J$500,MATCH(A13,Lines!$AE$2:$AE$500,0))&amp;"",""),IFERROR("",""))</f>
        <v/>
      </c>
      <c r="F13" s="2">
        <f>IF(A13&lt;=COUNT(Lines!$AE$2:$AE$500),IFERROR(INDEX(Lines!$AD$2:$AD$500,MATCH(A13,Lines!$AE$2:$AE$500,0))&amp;"",""),IFERROR(INDEX(Docs!$AC$2:$AC$51,MATCH(A13-COUNT(Lines!$AE$2:$AE$500),Docs!$AD$2:$AD$51,0))&amp;"",""))</f>
        <v/>
      </c>
    </row>
    <row r="14">
      <c r="A14" s="2" t="n">
        <v>13</v>
      </c>
      <c r="B14" s="2">
        <f>IF(A14&lt;=COUNT(Lines!$AE$2:$AE$500),IFERROR(INDEX(Lines!$E$2:$E$500,MATCH(A14,Lines!$AE$2:$AE$500,0))&amp;"",""),IFERROR(INDEX(Docs!$C$2:$C$51,MATCH(A14-COUNT(Lines!$AE$2:$AE$500),Docs!$AD$2:$AD$51,0))&amp;"",""))</f>
        <v/>
      </c>
      <c r="C14" s="2">
        <f>IF(A14&lt;=COUNT(Lines!$AE$2:$AE$500),IFERROR(INDEX(Lines!$H$2:$H$500,MATCH(A14,Lines!$AE$2:$AE$500,0)),""),IFERROR("",""))</f>
        <v/>
      </c>
      <c r="D14" s="2">
        <f>IF(A14&lt;=COUNT(Lines!$AE$2:$AE$500),IFERROR(INDEX(Lines!$I$2:$I$500,MATCH(A14,Lines!$AE$2:$AE$500,0)),""),IFERROR("",""))</f>
        <v/>
      </c>
      <c r="E14" s="2">
        <f>IF(A14&lt;=COUNT(Lines!$AE$2:$AE$500),IFERROR(INDEX(Lines!$J$2:$J$500,MATCH(A14,Lines!$AE$2:$AE$500,0))&amp;"",""),IFERROR("",""))</f>
        <v/>
      </c>
      <c r="F14" s="2">
        <f>IF(A14&lt;=COUNT(Lines!$AE$2:$AE$500),IFERROR(INDEX(Lines!$AD$2:$AD$500,MATCH(A14,Lines!$AE$2:$AE$500,0))&amp;"",""),IFERROR(INDEX(Docs!$AC$2:$AC$51,MATCH(A14-COUNT(Lines!$AE$2:$AE$500),Docs!$AD$2:$AD$51,0))&amp;"",""))</f>
        <v/>
      </c>
    </row>
    <row r="15">
      <c r="A15" s="2" t="n">
        <v>14</v>
      </c>
      <c r="B15" s="2">
        <f>IF(A15&lt;=COUNT(Lines!$AE$2:$AE$500),IFERROR(INDEX(Lines!$E$2:$E$500,MATCH(A15,Lines!$AE$2:$AE$500,0))&amp;"",""),IFERROR(INDEX(Docs!$C$2:$C$51,MATCH(A15-COUNT(Lines!$AE$2:$AE$500),Docs!$AD$2:$AD$51,0))&amp;"",""))</f>
        <v/>
      </c>
      <c r="C15" s="2">
        <f>IF(A15&lt;=COUNT(Lines!$AE$2:$AE$500),IFERROR(INDEX(Lines!$H$2:$H$500,MATCH(A15,Lines!$AE$2:$AE$500,0)),""),IFERROR("",""))</f>
        <v/>
      </c>
      <c r="D15" s="2">
        <f>IF(A15&lt;=COUNT(Lines!$AE$2:$AE$500),IFERROR(INDEX(Lines!$I$2:$I$500,MATCH(A15,Lines!$AE$2:$AE$500,0)),""),IFERROR("",""))</f>
        <v/>
      </c>
      <c r="E15" s="2">
        <f>IF(A15&lt;=COUNT(Lines!$AE$2:$AE$500),IFERROR(INDEX(Lines!$J$2:$J$500,MATCH(A15,Lines!$AE$2:$AE$500,0))&amp;"",""),IFERROR("",""))</f>
        <v/>
      </c>
      <c r="F15" s="2">
        <f>IF(A15&lt;=COUNT(Lines!$AE$2:$AE$500),IFERROR(INDEX(Lines!$AD$2:$AD$500,MATCH(A15,Lines!$AE$2:$AE$500,0))&amp;"",""),IFERROR(INDEX(Docs!$AC$2:$AC$51,MATCH(A15-COUNT(Lines!$AE$2:$AE$500),Docs!$AD$2:$AD$51,0))&amp;"",""))</f>
        <v/>
      </c>
    </row>
    <row r="16">
      <c r="A16" s="2" t="n">
        <v>15</v>
      </c>
      <c r="B16" s="2">
        <f>IF(A16&lt;=COUNT(Lines!$AE$2:$AE$500),IFERROR(INDEX(Lines!$E$2:$E$500,MATCH(A16,Lines!$AE$2:$AE$500,0))&amp;"",""),IFERROR(INDEX(Docs!$C$2:$C$51,MATCH(A16-COUNT(Lines!$AE$2:$AE$500),Docs!$AD$2:$AD$51,0))&amp;"",""))</f>
        <v/>
      </c>
      <c r="C16" s="2">
        <f>IF(A16&lt;=COUNT(Lines!$AE$2:$AE$500),IFERROR(INDEX(Lines!$H$2:$H$500,MATCH(A16,Lines!$AE$2:$AE$500,0)),""),IFERROR("",""))</f>
        <v/>
      </c>
      <c r="D16" s="2">
        <f>IF(A16&lt;=COUNT(Lines!$AE$2:$AE$500),IFERROR(INDEX(Lines!$I$2:$I$500,MATCH(A16,Lines!$AE$2:$AE$500,0)),""),IFERROR("",""))</f>
        <v/>
      </c>
      <c r="E16" s="2">
        <f>IF(A16&lt;=COUNT(Lines!$AE$2:$AE$500),IFERROR(INDEX(Lines!$J$2:$J$500,MATCH(A16,Lines!$AE$2:$AE$500,0))&amp;"",""),IFERROR("",""))</f>
        <v/>
      </c>
      <c r="F16" s="2">
        <f>IF(A16&lt;=COUNT(Lines!$AE$2:$AE$500),IFERROR(INDEX(Lines!$AD$2:$AD$500,MATCH(A16,Lines!$AE$2:$AE$500,0))&amp;"",""),IFERROR(INDEX(Docs!$AC$2:$AC$51,MATCH(A16-COUNT(Lines!$AE$2:$AE$500),Docs!$AD$2:$AD$51,0))&amp;"",""))</f>
        <v/>
      </c>
    </row>
    <row r="17">
      <c r="A17" s="2" t="n">
        <v>16</v>
      </c>
      <c r="B17" s="2">
        <f>IF(A17&lt;=COUNT(Lines!$AE$2:$AE$500),IFERROR(INDEX(Lines!$E$2:$E$500,MATCH(A17,Lines!$AE$2:$AE$500,0))&amp;"",""),IFERROR(INDEX(Docs!$C$2:$C$51,MATCH(A17-COUNT(Lines!$AE$2:$AE$500),Docs!$AD$2:$AD$51,0))&amp;"",""))</f>
        <v/>
      </c>
      <c r="C17" s="2">
        <f>IF(A17&lt;=COUNT(Lines!$AE$2:$AE$500),IFERROR(INDEX(Lines!$H$2:$H$500,MATCH(A17,Lines!$AE$2:$AE$500,0)),""),IFERROR("",""))</f>
        <v/>
      </c>
      <c r="D17" s="2">
        <f>IF(A17&lt;=COUNT(Lines!$AE$2:$AE$500),IFERROR(INDEX(Lines!$I$2:$I$500,MATCH(A17,Lines!$AE$2:$AE$500,0)),""),IFERROR("",""))</f>
        <v/>
      </c>
      <c r="E17" s="2">
        <f>IF(A17&lt;=COUNT(Lines!$AE$2:$AE$500),IFERROR(INDEX(Lines!$J$2:$J$500,MATCH(A17,Lines!$AE$2:$AE$500,0))&amp;"",""),IFERROR("",""))</f>
        <v/>
      </c>
      <c r="F17" s="2">
        <f>IF(A17&lt;=COUNT(Lines!$AE$2:$AE$500),IFERROR(INDEX(Lines!$AD$2:$AD$500,MATCH(A17,Lines!$AE$2:$AE$500,0))&amp;"",""),IFERROR(INDEX(Docs!$AC$2:$AC$51,MATCH(A17-COUNT(Lines!$AE$2:$AE$500),Docs!$AD$2:$AD$51,0))&amp;"",""))</f>
        <v/>
      </c>
    </row>
    <row r="18">
      <c r="A18" s="2" t="n">
        <v>17</v>
      </c>
      <c r="B18" s="2">
        <f>IF(A18&lt;=COUNT(Lines!$AE$2:$AE$500),IFERROR(INDEX(Lines!$E$2:$E$500,MATCH(A18,Lines!$AE$2:$AE$500,0))&amp;"",""),IFERROR(INDEX(Docs!$C$2:$C$51,MATCH(A18-COUNT(Lines!$AE$2:$AE$500),Docs!$AD$2:$AD$51,0))&amp;"",""))</f>
        <v/>
      </c>
      <c r="C18" s="2">
        <f>IF(A18&lt;=COUNT(Lines!$AE$2:$AE$500),IFERROR(INDEX(Lines!$H$2:$H$500,MATCH(A18,Lines!$AE$2:$AE$500,0)),""),IFERROR("",""))</f>
        <v/>
      </c>
      <c r="D18" s="2">
        <f>IF(A18&lt;=COUNT(Lines!$AE$2:$AE$500),IFERROR(INDEX(Lines!$I$2:$I$500,MATCH(A18,Lines!$AE$2:$AE$500,0)),""),IFERROR("",""))</f>
        <v/>
      </c>
      <c r="E18" s="2">
        <f>IF(A18&lt;=COUNT(Lines!$AE$2:$AE$500),IFERROR(INDEX(Lines!$J$2:$J$500,MATCH(A18,Lines!$AE$2:$AE$500,0))&amp;"",""),IFERROR("",""))</f>
        <v/>
      </c>
      <c r="F18" s="2">
        <f>IF(A18&lt;=COUNT(Lines!$AE$2:$AE$500),IFERROR(INDEX(Lines!$AD$2:$AD$500,MATCH(A18,Lines!$AE$2:$AE$500,0))&amp;"",""),IFERROR(INDEX(Docs!$AC$2:$AC$51,MATCH(A18-COUNT(Lines!$AE$2:$AE$500),Docs!$AD$2:$AD$51,0))&amp;"",""))</f>
        <v/>
      </c>
    </row>
    <row r="19">
      <c r="A19" s="2" t="n">
        <v>18</v>
      </c>
      <c r="B19" s="2">
        <f>IF(A19&lt;=COUNT(Lines!$AE$2:$AE$500),IFERROR(INDEX(Lines!$E$2:$E$500,MATCH(A19,Lines!$AE$2:$AE$500,0))&amp;"",""),IFERROR(INDEX(Docs!$C$2:$C$51,MATCH(A19-COUNT(Lines!$AE$2:$AE$500),Docs!$AD$2:$AD$51,0))&amp;"",""))</f>
        <v/>
      </c>
      <c r="C19" s="2">
        <f>IF(A19&lt;=COUNT(Lines!$AE$2:$AE$500),IFERROR(INDEX(Lines!$H$2:$H$500,MATCH(A19,Lines!$AE$2:$AE$500,0)),""),IFERROR("",""))</f>
        <v/>
      </c>
      <c r="D19" s="2">
        <f>IF(A19&lt;=COUNT(Lines!$AE$2:$AE$500),IFERROR(INDEX(Lines!$I$2:$I$500,MATCH(A19,Lines!$AE$2:$AE$500,0)),""),IFERROR("",""))</f>
        <v/>
      </c>
      <c r="E19" s="2">
        <f>IF(A19&lt;=COUNT(Lines!$AE$2:$AE$500),IFERROR(INDEX(Lines!$J$2:$J$500,MATCH(A19,Lines!$AE$2:$AE$500,0))&amp;"",""),IFERROR("",""))</f>
        <v/>
      </c>
      <c r="F19" s="2">
        <f>IF(A19&lt;=COUNT(Lines!$AE$2:$AE$500),IFERROR(INDEX(Lines!$AD$2:$AD$500,MATCH(A19,Lines!$AE$2:$AE$500,0))&amp;"",""),IFERROR(INDEX(Docs!$AC$2:$AC$51,MATCH(A19-COUNT(Lines!$AE$2:$AE$500),Docs!$AD$2:$AD$51,0))&amp;"",""))</f>
        <v/>
      </c>
    </row>
    <row r="20">
      <c r="A20" s="2" t="n">
        <v>19</v>
      </c>
      <c r="B20" s="2">
        <f>IF(A20&lt;=COUNT(Lines!$AE$2:$AE$500),IFERROR(INDEX(Lines!$E$2:$E$500,MATCH(A20,Lines!$AE$2:$AE$500,0))&amp;"",""),IFERROR(INDEX(Docs!$C$2:$C$51,MATCH(A20-COUNT(Lines!$AE$2:$AE$500),Docs!$AD$2:$AD$51,0))&amp;"",""))</f>
        <v/>
      </c>
      <c r="C20" s="2">
        <f>IF(A20&lt;=COUNT(Lines!$AE$2:$AE$500),IFERROR(INDEX(Lines!$H$2:$H$500,MATCH(A20,Lines!$AE$2:$AE$500,0)),""),IFERROR("",""))</f>
        <v/>
      </c>
      <c r="D20" s="2">
        <f>IF(A20&lt;=COUNT(Lines!$AE$2:$AE$500),IFERROR(INDEX(Lines!$I$2:$I$500,MATCH(A20,Lines!$AE$2:$AE$500,0)),""),IFERROR("",""))</f>
        <v/>
      </c>
      <c r="E20" s="2">
        <f>IF(A20&lt;=COUNT(Lines!$AE$2:$AE$500),IFERROR(INDEX(Lines!$J$2:$J$500,MATCH(A20,Lines!$AE$2:$AE$500,0))&amp;"",""),IFERROR("",""))</f>
        <v/>
      </c>
      <c r="F20" s="2">
        <f>IF(A20&lt;=COUNT(Lines!$AE$2:$AE$500),IFERROR(INDEX(Lines!$AD$2:$AD$500,MATCH(A20,Lines!$AE$2:$AE$500,0))&amp;"",""),IFERROR(INDEX(Docs!$AC$2:$AC$51,MATCH(A20-COUNT(Lines!$AE$2:$AE$500),Docs!$AD$2:$AD$51,0))&amp;"",""))</f>
        <v/>
      </c>
    </row>
    <row r="21">
      <c r="A21" s="2" t="n">
        <v>20</v>
      </c>
      <c r="B21" s="2">
        <f>IF(A21&lt;=COUNT(Lines!$AE$2:$AE$500),IFERROR(INDEX(Lines!$E$2:$E$500,MATCH(A21,Lines!$AE$2:$AE$500,0))&amp;"",""),IFERROR(INDEX(Docs!$C$2:$C$51,MATCH(A21-COUNT(Lines!$AE$2:$AE$500),Docs!$AD$2:$AD$51,0))&amp;"",""))</f>
        <v/>
      </c>
      <c r="C21" s="2">
        <f>IF(A21&lt;=COUNT(Lines!$AE$2:$AE$500),IFERROR(INDEX(Lines!$H$2:$H$500,MATCH(A21,Lines!$AE$2:$AE$500,0)),""),IFERROR("",""))</f>
        <v/>
      </c>
      <c r="D21" s="2">
        <f>IF(A21&lt;=COUNT(Lines!$AE$2:$AE$500),IFERROR(INDEX(Lines!$I$2:$I$500,MATCH(A21,Lines!$AE$2:$AE$500,0)),""),IFERROR("",""))</f>
        <v/>
      </c>
      <c r="E21" s="2">
        <f>IF(A21&lt;=COUNT(Lines!$AE$2:$AE$500),IFERROR(INDEX(Lines!$J$2:$J$500,MATCH(A21,Lines!$AE$2:$AE$500,0))&amp;"",""),IFERROR("",""))</f>
        <v/>
      </c>
      <c r="F21" s="2">
        <f>IF(A21&lt;=COUNT(Lines!$AE$2:$AE$500),IFERROR(INDEX(Lines!$AD$2:$AD$500,MATCH(A21,Lines!$AE$2:$AE$500,0))&amp;"",""),IFERROR(INDEX(Docs!$AC$2:$AC$51,MATCH(A21-COUNT(Lines!$AE$2:$AE$500),Docs!$AD$2:$AD$51,0))&amp;"",""))</f>
        <v/>
      </c>
    </row>
    <row r="22">
      <c r="A22" s="2" t="n">
        <v>21</v>
      </c>
      <c r="B22" s="2">
        <f>IF(A22&lt;=COUNT(Lines!$AE$2:$AE$500),IFERROR(INDEX(Lines!$E$2:$E$500,MATCH(A22,Lines!$AE$2:$AE$500,0))&amp;"",""),IFERROR(INDEX(Docs!$C$2:$C$51,MATCH(A22-COUNT(Lines!$AE$2:$AE$500),Docs!$AD$2:$AD$51,0))&amp;"",""))</f>
        <v/>
      </c>
      <c r="C22" s="2">
        <f>IF(A22&lt;=COUNT(Lines!$AE$2:$AE$500),IFERROR(INDEX(Lines!$H$2:$H$500,MATCH(A22,Lines!$AE$2:$AE$500,0)),""),IFERROR("",""))</f>
        <v/>
      </c>
      <c r="D22" s="2">
        <f>IF(A22&lt;=COUNT(Lines!$AE$2:$AE$500),IFERROR(INDEX(Lines!$I$2:$I$500,MATCH(A22,Lines!$AE$2:$AE$500,0)),""),IFERROR("",""))</f>
        <v/>
      </c>
      <c r="E22" s="2">
        <f>IF(A22&lt;=COUNT(Lines!$AE$2:$AE$500),IFERROR(INDEX(Lines!$J$2:$J$500,MATCH(A22,Lines!$AE$2:$AE$500,0))&amp;"",""),IFERROR("",""))</f>
        <v/>
      </c>
      <c r="F22" s="2">
        <f>IF(A22&lt;=COUNT(Lines!$AE$2:$AE$500),IFERROR(INDEX(Lines!$AD$2:$AD$500,MATCH(A22,Lines!$AE$2:$AE$500,0))&amp;"",""),IFERROR(INDEX(Docs!$AC$2:$AC$51,MATCH(A22-COUNT(Lines!$AE$2:$AE$500),Docs!$AD$2:$AD$51,0))&amp;"",""))</f>
        <v/>
      </c>
    </row>
    <row r="23">
      <c r="A23" s="2" t="n">
        <v>22</v>
      </c>
      <c r="B23" s="2">
        <f>IF(A23&lt;=COUNT(Lines!$AE$2:$AE$500),IFERROR(INDEX(Lines!$E$2:$E$500,MATCH(A23,Lines!$AE$2:$AE$500,0))&amp;"",""),IFERROR(INDEX(Docs!$C$2:$C$51,MATCH(A23-COUNT(Lines!$AE$2:$AE$500),Docs!$AD$2:$AD$51,0))&amp;"",""))</f>
        <v/>
      </c>
      <c r="C23" s="2">
        <f>IF(A23&lt;=COUNT(Lines!$AE$2:$AE$500),IFERROR(INDEX(Lines!$H$2:$H$500,MATCH(A23,Lines!$AE$2:$AE$500,0)),""),IFERROR("",""))</f>
        <v/>
      </c>
      <c r="D23" s="2">
        <f>IF(A23&lt;=COUNT(Lines!$AE$2:$AE$500),IFERROR(INDEX(Lines!$I$2:$I$500,MATCH(A23,Lines!$AE$2:$AE$500,0)),""),IFERROR("",""))</f>
        <v/>
      </c>
      <c r="E23" s="2">
        <f>IF(A23&lt;=COUNT(Lines!$AE$2:$AE$500),IFERROR(INDEX(Lines!$J$2:$J$500,MATCH(A23,Lines!$AE$2:$AE$500,0))&amp;"",""),IFERROR("",""))</f>
        <v/>
      </c>
      <c r="F23" s="2">
        <f>IF(A23&lt;=COUNT(Lines!$AE$2:$AE$500),IFERROR(INDEX(Lines!$AD$2:$AD$500,MATCH(A23,Lines!$AE$2:$AE$500,0))&amp;"",""),IFERROR(INDEX(Docs!$AC$2:$AC$51,MATCH(A23-COUNT(Lines!$AE$2:$AE$500),Docs!$AD$2:$AD$51,0))&amp;"",""))</f>
        <v/>
      </c>
    </row>
    <row r="24">
      <c r="A24" s="2" t="n">
        <v>23</v>
      </c>
      <c r="B24" s="2">
        <f>IF(A24&lt;=COUNT(Lines!$AE$2:$AE$500),IFERROR(INDEX(Lines!$E$2:$E$500,MATCH(A24,Lines!$AE$2:$AE$500,0))&amp;"",""),IFERROR(INDEX(Docs!$C$2:$C$51,MATCH(A24-COUNT(Lines!$AE$2:$AE$500),Docs!$AD$2:$AD$51,0))&amp;"",""))</f>
        <v/>
      </c>
      <c r="C24" s="2">
        <f>IF(A24&lt;=COUNT(Lines!$AE$2:$AE$500),IFERROR(INDEX(Lines!$H$2:$H$500,MATCH(A24,Lines!$AE$2:$AE$500,0)),""),IFERROR("",""))</f>
        <v/>
      </c>
      <c r="D24" s="2">
        <f>IF(A24&lt;=COUNT(Lines!$AE$2:$AE$500),IFERROR(INDEX(Lines!$I$2:$I$500,MATCH(A24,Lines!$AE$2:$AE$500,0)),""),IFERROR("",""))</f>
        <v/>
      </c>
      <c r="E24" s="2">
        <f>IF(A24&lt;=COUNT(Lines!$AE$2:$AE$500),IFERROR(INDEX(Lines!$J$2:$J$500,MATCH(A24,Lines!$AE$2:$AE$500,0))&amp;"",""),IFERROR("",""))</f>
        <v/>
      </c>
      <c r="F24" s="2">
        <f>IF(A24&lt;=COUNT(Lines!$AE$2:$AE$500),IFERROR(INDEX(Lines!$AD$2:$AD$500,MATCH(A24,Lines!$AE$2:$AE$500,0))&amp;"",""),IFERROR(INDEX(Docs!$AC$2:$AC$51,MATCH(A24-COUNT(Lines!$AE$2:$AE$500),Docs!$AD$2:$AD$51,0))&amp;"",""))</f>
        <v/>
      </c>
    </row>
    <row r="25">
      <c r="A25" s="2" t="n">
        <v>24</v>
      </c>
      <c r="B25" s="2">
        <f>IF(A25&lt;=COUNT(Lines!$AE$2:$AE$500),IFERROR(INDEX(Lines!$E$2:$E$500,MATCH(A25,Lines!$AE$2:$AE$500,0))&amp;"",""),IFERROR(INDEX(Docs!$C$2:$C$51,MATCH(A25-COUNT(Lines!$AE$2:$AE$500),Docs!$AD$2:$AD$51,0))&amp;"",""))</f>
        <v/>
      </c>
      <c r="C25" s="2">
        <f>IF(A25&lt;=COUNT(Lines!$AE$2:$AE$500),IFERROR(INDEX(Lines!$H$2:$H$500,MATCH(A25,Lines!$AE$2:$AE$500,0)),""),IFERROR("",""))</f>
        <v/>
      </c>
      <c r="D25" s="2">
        <f>IF(A25&lt;=COUNT(Lines!$AE$2:$AE$500),IFERROR(INDEX(Lines!$I$2:$I$500,MATCH(A25,Lines!$AE$2:$AE$500,0)),""),IFERROR("",""))</f>
        <v/>
      </c>
      <c r="E25" s="2">
        <f>IF(A25&lt;=COUNT(Lines!$AE$2:$AE$500),IFERROR(INDEX(Lines!$J$2:$J$500,MATCH(A25,Lines!$AE$2:$AE$500,0))&amp;"",""),IFERROR("",""))</f>
        <v/>
      </c>
      <c r="F25" s="2">
        <f>IF(A25&lt;=COUNT(Lines!$AE$2:$AE$500),IFERROR(INDEX(Lines!$AD$2:$AD$500,MATCH(A25,Lines!$AE$2:$AE$500,0))&amp;"",""),IFERROR(INDEX(Docs!$AC$2:$AC$51,MATCH(A25-COUNT(Lines!$AE$2:$AE$500),Docs!$AD$2:$AD$51,0))&amp;"",""))</f>
        <v/>
      </c>
    </row>
    <row r="26">
      <c r="A26" s="2" t="n">
        <v>25</v>
      </c>
      <c r="B26" s="2">
        <f>IF(A26&lt;=COUNT(Lines!$AE$2:$AE$500),IFERROR(INDEX(Lines!$E$2:$E$500,MATCH(A26,Lines!$AE$2:$AE$500,0))&amp;"",""),IFERROR(INDEX(Docs!$C$2:$C$51,MATCH(A26-COUNT(Lines!$AE$2:$AE$500),Docs!$AD$2:$AD$51,0))&amp;"",""))</f>
        <v/>
      </c>
      <c r="C26" s="2">
        <f>IF(A26&lt;=COUNT(Lines!$AE$2:$AE$500),IFERROR(INDEX(Lines!$H$2:$H$500,MATCH(A26,Lines!$AE$2:$AE$500,0)),""),IFERROR("",""))</f>
        <v/>
      </c>
      <c r="D26" s="2">
        <f>IF(A26&lt;=COUNT(Lines!$AE$2:$AE$500),IFERROR(INDEX(Lines!$I$2:$I$500,MATCH(A26,Lines!$AE$2:$AE$500,0)),""),IFERROR("",""))</f>
        <v/>
      </c>
      <c r="E26" s="2">
        <f>IF(A26&lt;=COUNT(Lines!$AE$2:$AE$500),IFERROR(INDEX(Lines!$J$2:$J$500,MATCH(A26,Lines!$AE$2:$AE$500,0))&amp;"",""),IFERROR("",""))</f>
        <v/>
      </c>
      <c r="F26" s="2">
        <f>IF(A26&lt;=COUNT(Lines!$AE$2:$AE$500),IFERROR(INDEX(Lines!$AD$2:$AD$500,MATCH(A26,Lines!$AE$2:$AE$500,0))&amp;"",""),IFERROR(INDEX(Docs!$AC$2:$AC$51,MATCH(A26-COUNT(Lines!$AE$2:$AE$500),Docs!$AD$2:$AD$51,0))&amp;"",""))</f>
        <v/>
      </c>
    </row>
    <row r="27">
      <c r="A27" s="2" t="n">
        <v>26</v>
      </c>
      <c r="B27" s="2">
        <f>IF(A27&lt;=COUNT(Lines!$AE$2:$AE$500),IFERROR(INDEX(Lines!$E$2:$E$500,MATCH(A27,Lines!$AE$2:$AE$500,0))&amp;"",""),IFERROR(INDEX(Docs!$C$2:$C$51,MATCH(A27-COUNT(Lines!$AE$2:$AE$500),Docs!$AD$2:$AD$51,0))&amp;"",""))</f>
        <v/>
      </c>
      <c r="C27" s="2">
        <f>IF(A27&lt;=COUNT(Lines!$AE$2:$AE$500),IFERROR(INDEX(Lines!$H$2:$H$500,MATCH(A27,Lines!$AE$2:$AE$500,0)),""),IFERROR("",""))</f>
        <v/>
      </c>
      <c r="D27" s="2">
        <f>IF(A27&lt;=COUNT(Lines!$AE$2:$AE$500),IFERROR(INDEX(Lines!$I$2:$I$500,MATCH(A27,Lines!$AE$2:$AE$500,0)),""),IFERROR("",""))</f>
        <v/>
      </c>
      <c r="E27" s="2">
        <f>IF(A27&lt;=COUNT(Lines!$AE$2:$AE$500),IFERROR(INDEX(Lines!$J$2:$J$500,MATCH(A27,Lines!$AE$2:$AE$500,0))&amp;"",""),IFERROR("",""))</f>
        <v/>
      </c>
      <c r="F27" s="2">
        <f>IF(A27&lt;=COUNT(Lines!$AE$2:$AE$500),IFERROR(INDEX(Lines!$AD$2:$AD$500,MATCH(A27,Lines!$AE$2:$AE$500,0))&amp;"",""),IFERROR(INDEX(Docs!$AC$2:$AC$51,MATCH(A27-COUNT(Lines!$AE$2:$AE$500),Docs!$AD$2:$AD$51,0))&amp;"",""))</f>
        <v/>
      </c>
    </row>
    <row r="28">
      <c r="A28" s="2" t="n">
        <v>27</v>
      </c>
      <c r="B28" s="2">
        <f>IF(A28&lt;=COUNT(Lines!$AE$2:$AE$500),IFERROR(INDEX(Lines!$E$2:$E$500,MATCH(A28,Lines!$AE$2:$AE$500,0))&amp;"",""),IFERROR(INDEX(Docs!$C$2:$C$51,MATCH(A28-COUNT(Lines!$AE$2:$AE$500),Docs!$AD$2:$AD$51,0))&amp;"",""))</f>
        <v/>
      </c>
      <c r="C28" s="2">
        <f>IF(A28&lt;=COUNT(Lines!$AE$2:$AE$500),IFERROR(INDEX(Lines!$H$2:$H$500,MATCH(A28,Lines!$AE$2:$AE$500,0)),""),IFERROR("",""))</f>
        <v/>
      </c>
      <c r="D28" s="2">
        <f>IF(A28&lt;=COUNT(Lines!$AE$2:$AE$500),IFERROR(INDEX(Lines!$I$2:$I$500,MATCH(A28,Lines!$AE$2:$AE$500,0)),""),IFERROR("",""))</f>
        <v/>
      </c>
      <c r="E28" s="2">
        <f>IF(A28&lt;=COUNT(Lines!$AE$2:$AE$500),IFERROR(INDEX(Lines!$J$2:$J$500,MATCH(A28,Lines!$AE$2:$AE$500,0))&amp;"",""),IFERROR("",""))</f>
        <v/>
      </c>
      <c r="F28" s="2">
        <f>IF(A28&lt;=COUNT(Lines!$AE$2:$AE$500),IFERROR(INDEX(Lines!$AD$2:$AD$500,MATCH(A28,Lines!$AE$2:$AE$500,0))&amp;"",""),IFERROR(INDEX(Docs!$AC$2:$AC$51,MATCH(A28-COUNT(Lines!$AE$2:$AE$500),Docs!$AD$2:$AD$51,0))&amp;"",""))</f>
        <v/>
      </c>
    </row>
    <row r="29">
      <c r="A29" s="2" t="n">
        <v>28</v>
      </c>
      <c r="B29" s="2">
        <f>IF(A29&lt;=COUNT(Lines!$AE$2:$AE$500),IFERROR(INDEX(Lines!$E$2:$E$500,MATCH(A29,Lines!$AE$2:$AE$500,0))&amp;"",""),IFERROR(INDEX(Docs!$C$2:$C$51,MATCH(A29-COUNT(Lines!$AE$2:$AE$500),Docs!$AD$2:$AD$51,0))&amp;"",""))</f>
        <v/>
      </c>
      <c r="C29" s="2">
        <f>IF(A29&lt;=COUNT(Lines!$AE$2:$AE$500),IFERROR(INDEX(Lines!$H$2:$H$500,MATCH(A29,Lines!$AE$2:$AE$500,0)),""),IFERROR("",""))</f>
        <v/>
      </c>
      <c r="D29" s="2">
        <f>IF(A29&lt;=COUNT(Lines!$AE$2:$AE$500),IFERROR(INDEX(Lines!$I$2:$I$500,MATCH(A29,Lines!$AE$2:$AE$500,0)),""),IFERROR("",""))</f>
        <v/>
      </c>
      <c r="E29" s="2">
        <f>IF(A29&lt;=COUNT(Lines!$AE$2:$AE$500),IFERROR(INDEX(Lines!$J$2:$J$500,MATCH(A29,Lines!$AE$2:$AE$500,0))&amp;"",""),IFERROR("",""))</f>
        <v/>
      </c>
      <c r="F29" s="2">
        <f>IF(A29&lt;=COUNT(Lines!$AE$2:$AE$500),IFERROR(INDEX(Lines!$AD$2:$AD$500,MATCH(A29,Lines!$AE$2:$AE$500,0))&amp;"",""),IFERROR(INDEX(Docs!$AC$2:$AC$51,MATCH(A29-COUNT(Lines!$AE$2:$AE$500),Docs!$AD$2:$AD$51,0))&amp;"",""))</f>
        <v/>
      </c>
    </row>
    <row r="30">
      <c r="A30" s="2" t="n">
        <v>29</v>
      </c>
      <c r="B30" s="2">
        <f>IF(A30&lt;=COUNT(Lines!$AE$2:$AE$500),IFERROR(INDEX(Lines!$E$2:$E$500,MATCH(A30,Lines!$AE$2:$AE$500,0))&amp;"",""),IFERROR(INDEX(Docs!$C$2:$C$51,MATCH(A30-COUNT(Lines!$AE$2:$AE$500),Docs!$AD$2:$AD$51,0))&amp;"",""))</f>
        <v/>
      </c>
      <c r="C30" s="2">
        <f>IF(A30&lt;=COUNT(Lines!$AE$2:$AE$500),IFERROR(INDEX(Lines!$H$2:$H$500,MATCH(A30,Lines!$AE$2:$AE$500,0)),""),IFERROR("",""))</f>
        <v/>
      </c>
      <c r="D30" s="2">
        <f>IF(A30&lt;=COUNT(Lines!$AE$2:$AE$500),IFERROR(INDEX(Lines!$I$2:$I$500,MATCH(A30,Lines!$AE$2:$AE$500,0)),""),IFERROR("",""))</f>
        <v/>
      </c>
      <c r="E30" s="2">
        <f>IF(A30&lt;=COUNT(Lines!$AE$2:$AE$500),IFERROR(INDEX(Lines!$J$2:$J$500,MATCH(A30,Lines!$AE$2:$AE$500,0))&amp;"",""),IFERROR("",""))</f>
        <v/>
      </c>
      <c r="F30" s="2">
        <f>IF(A30&lt;=COUNT(Lines!$AE$2:$AE$500),IFERROR(INDEX(Lines!$AD$2:$AD$500,MATCH(A30,Lines!$AE$2:$AE$500,0))&amp;"",""),IFERROR(INDEX(Docs!$AC$2:$AC$51,MATCH(A30-COUNT(Lines!$AE$2:$AE$500),Docs!$AD$2:$AD$51,0))&amp;"",""))</f>
        <v/>
      </c>
    </row>
    <row r="31">
      <c r="A31" s="2" t="n">
        <v>30</v>
      </c>
      <c r="B31" s="2">
        <f>IF(A31&lt;=COUNT(Lines!$AE$2:$AE$500),IFERROR(INDEX(Lines!$E$2:$E$500,MATCH(A31,Lines!$AE$2:$AE$500,0))&amp;"",""),IFERROR(INDEX(Docs!$C$2:$C$51,MATCH(A31-COUNT(Lines!$AE$2:$AE$500),Docs!$AD$2:$AD$51,0))&amp;"",""))</f>
        <v/>
      </c>
      <c r="C31" s="2">
        <f>IF(A31&lt;=COUNT(Lines!$AE$2:$AE$500),IFERROR(INDEX(Lines!$H$2:$H$500,MATCH(A31,Lines!$AE$2:$AE$500,0)),""),IFERROR("",""))</f>
        <v/>
      </c>
      <c r="D31" s="2">
        <f>IF(A31&lt;=COUNT(Lines!$AE$2:$AE$500),IFERROR(INDEX(Lines!$I$2:$I$500,MATCH(A31,Lines!$AE$2:$AE$500,0)),""),IFERROR("",""))</f>
        <v/>
      </c>
      <c r="E31" s="2">
        <f>IF(A31&lt;=COUNT(Lines!$AE$2:$AE$500),IFERROR(INDEX(Lines!$J$2:$J$500,MATCH(A31,Lines!$AE$2:$AE$500,0))&amp;"",""),IFERROR("",""))</f>
        <v/>
      </c>
      <c r="F31" s="2">
        <f>IF(A31&lt;=COUNT(Lines!$AE$2:$AE$500),IFERROR(INDEX(Lines!$AD$2:$AD$500,MATCH(A31,Lines!$AE$2:$AE$500,0))&amp;"",""),IFERROR(INDEX(Docs!$AC$2:$AC$51,MATCH(A31-COUNT(Lines!$AE$2:$AE$500),Docs!$AD$2:$AD$51,0))&amp;"",""))</f>
        <v/>
      </c>
    </row>
    <row r="32">
      <c r="A32" s="2" t="n">
        <v>31</v>
      </c>
      <c r="B32" s="2">
        <f>IF(A32&lt;=COUNT(Lines!$AE$2:$AE$500),IFERROR(INDEX(Lines!$E$2:$E$500,MATCH(A32,Lines!$AE$2:$AE$500,0))&amp;"",""),IFERROR(INDEX(Docs!$C$2:$C$51,MATCH(A32-COUNT(Lines!$AE$2:$AE$500),Docs!$AD$2:$AD$51,0))&amp;"",""))</f>
        <v/>
      </c>
      <c r="C32" s="2">
        <f>IF(A32&lt;=COUNT(Lines!$AE$2:$AE$500),IFERROR(INDEX(Lines!$H$2:$H$500,MATCH(A32,Lines!$AE$2:$AE$500,0)),""),IFERROR("",""))</f>
        <v/>
      </c>
      <c r="D32" s="2">
        <f>IF(A32&lt;=COUNT(Lines!$AE$2:$AE$500),IFERROR(INDEX(Lines!$I$2:$I$500,MATCH(A32,Lines!$AE$2:$AE$500,0)),""),IFERROR("",""))</f>
        <v/>
      </c>
      <c r="E32" s="2">
        <f>IF(A32&lt;=COUNT(Lines!$AE$2:$AE$500),IFERROR(INDEX(Lines!$J$2:$J$500,MATCH(A32,Lines!$AE$2:$AE$500,0))&amp;"",""),IFERROR("",""))</f>
        <v/>
      </c>
      <c r="F32" s="2">
        <f>IF(A32&lt;=COUNT(Lines!$AE$2:$AE$500),IFERROR(INDEX(Lines!$AD$2:$AD$500,MATCH(A32,Lines!$AE$2:$AE$500,0))&amp;"",""),IFERROR(INDEX(Docs!$AC$2:$AC$51,MATCH(A32-COUNT(Lines!$AE$2:$AE$500),Docs!$AD$2:$AD$51,0))&amp;"",""))</f>
        <v/>
      </c>
    </row>
    <row r="33">
      <c r="A33" s="2" t="n">
        <v>32</v>
      </c>
      <c r="B33" s="2">
        <f>IF(A33&lt;=COUNT(Lines!$AE$2:$AE$500),IFERROR(INDEX(Lines!$E$2:$E$500,MATCH(A33,Lines!$AE$2:$AE$500,0))&amp;"",""),IFERROR(INDEX(Docs!$C$2:$C$51,MATCH(A33-COUNT(Lines!$AE$2:$AE$500),Docs!$AD$2:$AD$51,0))&amp;"",""))</f>
        <v/>
      </c>
      <c r="C33" s="2">
        <f>IF(A33&lt;=COUNT(Lines!$AE$2:$AE$500),IFERROR(INDEX(Lines!$H$2:$H$500,MATCH(A33,Lines!$AE$2:$AE$500,0)),""),IFERROR("",""))</f>
        <v/>
      </c>
      <c r="D33" s="2">
        <f>IF(A33&lt;=COUNT(Lines!$AE$2:$AE$500),IFERROR(INDEX(Lines!$I$2:$I$500,MATCH(A33,Lines!$AE$2:$AE$500,0)),""),IFERROR("",""))</f>
        <v/>
      </c>
      <c r="E33" s="2">
        <f>IF(A33&lt;=COUNT(Lines!$AE$2:$AE$500),IFERROR(INDEX(Lines!$J$2:$J$500,MATCH(A33,Lines!$AE$2:$AE$500,0))&amp;"",""),IFERROR("",""))</f>
        <v/>
      </c>
      <c r="F33" s="2">
        <f>IF(A33&lt;=COUNT(Lines!$AE$2:$AE$500),IFERROR(INDEX(Lines!$AD$2:$AD$500,MATCH(A33,Lines!$AE$2:$AE$500,0))&amp;"",""),IFERROR(INDEX(Docs!$AC$2:$AC$51,MATCH(A33-COUNT(Lines!$AE$2:$AE$500),Docs!$AD$2:$AD$51,0))&amp;"",""))</f>
        <v/>
      </c>
    </row>
    <row r="34">
      <c r="A34" s="2" t="n">
        <v>33</v>
      </c>
      <c r="B34" s="2">
        <f>IF(A34&lt;=COUNT(Lines!$AE$2:$AE$500),IFERROR(INDEX(Lines!$E$2:$E$500,MATCH(A34,Lines!$AE$2:$AE$500,0))&amp;"",""),IFERROR(INDEX(Docs!$C$2:$C$51,MATCH(A34-COUNT(Lines!$AE$2:$AE$500),Docs!$AD$2:$AD$51,0))&amp;"",""))</f>
        <v/>
      </c>
      <c r="C34" s="2">
        <f>IF(A34&lt;=COUNT(Lines!$AE$2:$AE$500),IFERROR(INDEX(Lines!$H$2:$H$500,MATCH(A34,Lines!$AE$2:$AE$500,0)),""),IFERROR("",""))</f>
        <v/>
      </c>
      <c r="D34" s="2">
        <f>IF(A34&lt;=COUNT(Lines!$AE$2:$AE$500),IFERROR(INDEX(Lines!$I$2:$I$500,MATCH(A34,Lines!$AE$2:$AE$500,0)),""),IFERROR("",""))</f>
        <v/>
      </c>
      <c r="E34" s="2">
        <f>IF(A34&lt;=COUNT(Lines!$AE$2:$AE$500),IFERROR(INDEX(Lines!$J$2:$J$500,MATCH(A34,Lines!$AE$2:$AE$500,0))&amp;"",""),IFERROR("",""))</f>
        <v/>
      </c>
      <c r="F34" s="2">
        <f>IF(A34&lt;=COUNT(Lines!$AE$2:$AE$500),IFERROR(INDEX(Lines!$AD$2:$AD$500,MATCH(A34,Lines!$AE$2:$AE$500,0))&amp;"",""),IFERROR(INDEX(Docs!$AC$2:$AC$51,MATCH(A34-COUNT(Lines!$AE$2:$AE$500),Docs!$AD$2:$AD$51,0))&amp;"",""))</f>
        <v/>
      </c>
    </row>
    <row r="35">
      <c r="A35" s="2" t="n">
        <v>34</v>
      </c>
      <c r="B35" s="2">
        <f>IF(A35&lt;=COUNT(Lines!$AE$2:$AE$500),IFERROR(INDEX(Lines!$E$2:$E$500,MATCH(A35,Lines!$AE$2:$AE$500,0))&amp;"",""),IFERROR(INDEX(Docs!$C$2:$C$51,MATCH(A35-COUNT(Lines!$AE$2:$AE$500),Docs!$AD$2:$AD$51,0))&amp;"",""))</f>
        <v/>
      </c>
      <c r="C35" s="2">
        <f>IF(A35&lt;=COUNT(Lines!$AE$2:$AE$500),IFERROR(INDEX(Lines!$H$2:$H$500,MATCH(A35,Lines!$AE$2:$AE$500,0)),""),IFERROR("",""))</f>
        <v/>
      </c>
      <c r="D35" s="2">
        <f>IF(A35&lt;=COUNT(Lines!$AE$2:$AE$500),IFERROR(INDEX(Lines!$I$2:$I$500,MATCH(A35,Lines!$AE$2:$AE$500,0)),""),IFERROR("",""))</f>
        <v/>
      </c>
      <c r="E35" s="2">
        <f>IF(A35&lt;=COUNT(Lines!$AE$2:$AE$500),IFERROR(INDEX(Lines!$J$2:$J$500,MATCH(A35,Lines!$AE$2:$AE$500,0))&amp;"",""),IFERROR("",""))</f>
        <v/>
      </c>
      <c r="F35" s="2">
        <f>IF(A35&lt;=COUNT(Lines!$AE$2:$AE$500),IFERROR(INDEX(Lines!$AD$2:$AD$500,MATCH(A35,Lines!$AE$2:$AE$500,0))&amp;"",""),IFERROR(INDEX(Docs!$AC$2:$AC$51,MATCH(A35-COUNT(Lines!$AE$2:$AE$500),Docs!$AD$2:$AD$51,0))&amp;"",""))</f>
        <v/>
      </c>
    </row>
    <row r="36">
      <c r="A36" s="2" t="n">
        <v>35</v>
      </c>
      <c r="B36" s="2">
        <f>IF(A36&lt;=COUNT(Lines!$AE$2:$AE$500),IFERROR(INDEX(Lines!$E$2:$E$500,MATCH(A36,Lines!$AE$2:$AE$500,0))&amp;"",""),IFERROR(INDEX(Docs!$C$2:$C$51,MATCH(A36-COUNT(Lines!$AE$2:$AE$500),Docs!$AD$2:$AD$51,0))&amp;"",""))</f>
        <v/>
      </c>
      <c r="C36" s="2">
        <f>IF(A36&lt;=COUNT(Lines!$AE$2:$AE$500),IFERROR(INDEX(Lines!$H$2:$H$500,MATCH(A36,Lines!$AE$2:$AE$500,0)),""),IFERROR("",""))</f>
        <v/>
      </c>
      <c r="D36" s="2">
        <f>IF(A36&lt;=COUNT(Lines!$AE$2:$AE$500),IFERROR(INDEX(Lines!$I$2:$I$500,MATCH(A36,Lines!$AE$2:$AE$500,0)),""),IFERROR("",""))</f>
        <v/>
      </c>
      <c r="E36" s="2">
        <f>IF(A36&lt;=COUNT(Lines!$AE$2:$AE$500),IFERROR(INDEX(Lines!$J$2:$J$500,MATCH(A36,Lines!$AE$2:$AE$500,0))&amp;"",""),IFERROR("",""))</f>
        <v/>
      </c>
      <c r="F36" s="2">
        <f>IF(A36&lt;=COUNT(Lines!$AE$2:$AE$500),IFERROR(INDEX(Lines!$AD$2:$AD$500,MATCH(A36,Lines!$AE$2:$AE$500,0))&amp;"",""),IFERROR(INDEX(Docs!$AC$2:$AC$51,MATCH(A36-COUNT(Lines!$AE$2:$AE$500),Docs!$AD$2:$AD$51,0))&amp;"",""))</f>
        <v/>
      </c>
    </row>
    <row r="37">
      <c r="A37" s="2" t="n">
        <v>36</v>
      </c>
      <c r="B37" s="2">
        <f>IF(A37&lt;=COUNT(Lines!$AE$2:$AE$500),IFERROR(INDEX(Lines!$E$2:$E$500,MATCH(A37,Lines!$AE$2:$AE$500,0))&amp;"",""),IFERROR(INDEX(Docs!$C$2:$C$51,MATCH(A37-COUNT(Lines!$AE$2:$AE$500),Docs!$AD$2:$AD$51,0))&amp;"",""))</f>
        <v/>
      </c>
      <c r="C37" s="2">
        <f>IF(A37&lt;=COUNT(Lines!$AE$2:$AE$500),IFERROR(INDEX(Lines!$H$2:$H$500,MATCH(A37,Lines!$AE$2:$AE$500,0)),""),IFERROR("",""))</f>
        <v/>
      </c>
      <c r="D37" s="2">
        <f>IF(A37&lt;=COUNT(Lines!$AE$2:$AE$500),IFERROR(INDEX(Lines!$I$2:$I$500,MATCH(A37,Lines!$AE$2:$AE$500,0)),""),IFERROR("",""))</f>
        <v/>
      </c>
      <c r="E37" s="2">
        <f>IF(A37&lt;=COUNT(Lines!$AE$2:$AE$500),IFERROR(INDEX(Lines!$J$2:$J$500,MATCH(A37,Lines!$AE$2:$AE$500,0))&amp;"",""),IFERROR("",""))</f>
        <v/>
      </c>
      <c r="F37" s="2">
        <f>IF(A37&lt;=COUNT(Lines!$AE$2:$AE$500),IFERROR(INDEX(Lines!$AD$2:$AD$500,MATCH(A37,Lines!$AE$2:$AE$500,0))&amp;"",""),IFERROR(INDEX(Docs!$AC$2:$AC$51,MATCH(A37-COUNT(Lines!$AE$2:$AE$500),Docs!$AD$2:$AD$51,0))&amp;"",""))</f>
        <v/>
      </c>
    </row>
    <row r="38">
      <c r="A38" s="2" t="n">
        <v>37</v>
      </c>
      <c r="B38" s="2">
        <f>IF(A38&lt;=COUNT(Lines!$AE$2:$AE$500),IFERROR(INDEX(Lines!$E$2:$E$500,MATCH(A38,Lines!$AE$2:$AE$500,0))&amp;"",""),IFERROR(INDEX(Docs!$C$2:$C$51,MATCH(A38-COUNT(Lines!$AE$2:$AE$500),Docs!$AD$2:$AD$51,0))&amp;"",""))</f>
        <v/>
      </c>
      <c r="C38" s="2">
        <f>IF(A38&lt;=COUNT(Lines!$AE$2:$AE$500),IFERROR(INDEX(Lines!$H$2:$H$500,MATCH(A38,Lines!$AE$2:$AE$500,0)),""),IFERROR("",""))</f>
        <v/>
      </c>
      <c r="D38" s="2">
        <f>IF(A38&lt;=COUNT(Lines!$AE$2:$AE$500),IFERROR(INDEX(Lines!$I$2:$I$500,MATCH(A38,Lines!$AE$2:$AE$500,0)),""),IFERROR("",""))</f>
        <v/>
      </c>
      <c r="E38" s="2">
        <f>IF(A38&lt;=COUNT(Lines!$AE$2:$AE$500),IFERROR(INDEX(Lines!$J$2:$J$500,MATCH(A38,Lines!$AE$2:$AE$500,0))&amp;"",""),IFERROR("",""))</f>
        <v/>
      </c>
      <c r="F38" s="2">
        <f>IF(A38&lt;=COUNT(Lines!$AE$2:$AE$500),IFERROR(INDEX(Lines!$AD$2:$AD$500,MATCH(A38,Lines!$AE$2:$AE$500,0))&amp;"",""),IFERROR(INDEX(Docs!$AC$2:$AC$51,MATCH(A38-COUNT(Lines!$AE$2:$AE$500),Docs!$AD$2:$AD$51,0))&amp;"",""))</f>
        <v/>
      </c>
    </row>
    <row r="39">
      <c r="A39" s="2" t="n">
        <v>38</v>
      </c>
      <c r="B39" s="2">
        <f>IF(A39&lt;=COUNT(Lines!$AE$2:$AE$500),IFERROR(INDEX(Lines!$E$2:$E$500,MATCH(A39,Lines!$AE$2:$AE$500,0))&amp;"",""),IFERROR(INDEX(Docs!$C$2:$C$51,MATCH(A39-COUNT(Lines!$AE$2:$AE$500),Docs!$AD$2:$AD$51,0))&amp;"",""))</f>
        <v/>
      </c>
      <c r="C39" s="2">
        <f>IF(A39&lt;=COUNT(Lines!$AE$2:$AE$500),IFERROR(INDEX(Lines!$H$2:$H$500,MATCH(A39,Lines!$AE$2:$AE$500,0)),""),IFERROR("",""))</f>
        <v/>
      </c>
      <c r="D39" s="2">
        <f>IF(A39&lt;=COUNT(Lines!$AE$2:$AE$500),IFERROR(INDEX(Lines!$I$2:$I$500,MATCH(A39,Lines!$AE$2:$AE$500,0)),""),IFERROR("",""))</f>
        <v/>
      </c>
      <c r="E39" s="2">
        <f>IF(A39&lt;=COUNT(Lines!$AE$2:$AE$500),IFERROR(INDEX(Lines!$J$2:$J$500,MATCH(A39,Lines!$AE$2:$AE$500,0))&amp;"",""),IFERROR("",""))</f>
        <v/>
      </c>
      <c r="F39" s="2">
        <f>IF(A39&lt;=COUNT(Lines!$AE$2:$AE$500),IFERROR(INDEX(Lines!$AD$2:$AD$500,MATCH(A39,Lines!$AE$2:$AE$500,0))&amp;"",""),IFERROR(INDEX(Docs!$AC$2:$AC$51,MATCH(A39-COUNT(Lines!$AE$2:$AE$500),Docs!$AD$2:$AD$51,0))&amp;"",""))</f>
        <v/>
      </c>
    </row>
    <row r="40">
      <c r="A40" s="2" t="n">
        <v>39</v>
      </c>
      <c r="B40" s="2">
        <f>IF(A40&lt;=COUNT(Lines!$AE$2:$AE$500),IFERROR(INDEX(Lines!$E$2:$E$500,MATCH(A40,Lines!$AE$2:$AE$500,0))&amp;"",""),IFERROR(INDEX(Docs!$C$2:$C$51,MATCH(A40-COUNT(Lines!$AE$2:$AE$500),Docs!$AD$2:$AD$51,0))&amp;"",""))</f>
        <v/>
      </c>
      <c r="C40" s="2">
        <f>IF(A40&lt;=COUNT(Lines!$AE$2:$AE$500),IFERROR(INDEX(Lines!$H$2:$H$500,MATCH(A40,Lines!$AE$2:$AE$500,0)),""),IFERROR("",""))</f>
        <v/>
      </c>
      <c r="D40" s="2">
        <f>IF(A40&lt;=COUNT(Lines!$AE$2:$AE$500),IFERROR(INDEX(Lines!$I$2:$I$500,MATCH(A40,Lines!$AE$2:$AE$500,0)),""),IFERROR("",""))</f>
        <v/>
      </c>
      <c r="E40" s="2">
        <f>IF(A40&lt;=COUNT(Lines!$AE$2:$AE$500),IFERROR(INDEX(Lines!$J$2:$J$500,MATCH(A40,Lines!$AE$2:$AE$500,0))&amp;"",""),IFERROR("",""))</f>
        <v/>
      </c>
      <c r="F40" s="2">
        <f>IF(A40&lt;=COUNT(Lines!$AE$2:$AE$500),IFERROR(INDEX(Lines!$AD$2:$AD$500,MATCH(A40,Lines!$AE$2:$AE$500,0))&amp;"",""),IFERROR(INDEX(Docs!$AC$2:$AC$51,MATCH(A40-COUNT(Lines!$AE$2:$AE$500),Docs!$AD$2:$AD$51,0))&amp;"",""))</f>
        <v/>
      </c>
    </row>
    <row r="41">
      <c r="A41" s="2" t="n">
        <v>40</v>
      </c>
      <c r="B41" s="2">
        <f>IF(A41&lt;=COUNT(Lines!$AE$2:$AE$500),IFERROR(INDEX(Lines!$E$2:$E$500,MATCH(A41,Lines!$AE$2:$AE$500,0))&amp;"",""),IFERROR(INDEX(Docs!$C$2:$C$51,MATCH(A41-COUNT(Lines!$AE$2:$AE$500),Docs!$AD$2:$AD$51,0))&amp;"",""))</f>
        <v/>
      </c>
      <c r="C41" s="2">
        <f>IF(A41&lt;=COUNT(Lines!$AE$2:$AE$500),IFERROR(INDEX(Lines!$H$2:$H$500,MATCH(A41,Lines!$AE$2:$AE$500,0)),""),IFERROR("",""))</f>
        <v/>
      </c>
      <c r="D41" s="2">
        <f>IF(A41&lt;=COUNT(Lines!$AE$2:$AE$500),IFERROR(INDEX(Lines!$I$2:$I$500,MATCH(A41,Lines!$AE$2:$AE$500,0)),""),IFERROR("",""))</f>
        <v/>
      </c>
      <c r="E41" s="2">
        <f>IF(A41&lt;=COUNT(Lines!$AE$2:$AE$500),IFERROR(INDEX(Lines!$J$2:$J$500,MATCH(A41,Lines!$AE$2:$AE$500,0))&amp;"",""),IFERROR("",""))</f>
        <v/>
      </c>
      <c r="F41" s="2">
        <f>IF(A41&lt;=COUNT(Lines!$AE$2:$AE$500),IFERROR(INDEX(Lines!$AD$2:$AD$500,MATCH(A41,Lines!$AE$2:$AE$500,0))&amp;"",""),IFERROR(INDEX(Docs!$AC$2:$AC$51,MATCH(A41-COUNT(Lines!$AE$2:$AE$500),Docs!$AD$2:$AD$51,0))&amp;"",""))</f>
        <v/>
      </c>
    </row>
    <row r="42">
      <c r="A42" s="2" t="n">
        <v>41</v>
      </c>
      <c r="B42" s="2">
        <f>IF(A42&lt;=COUNT(Lines!$AE$2:$AE$500),IFERROR(INDEX(Lines!$E$2:$E$500,MATCH(A42,Lines!$AE$2:$AE$500,0))&amp;"",""),IFERROR(INDEX(Docs!$C$2:$C$51,MATCH(A42-COUNT(Lines!$AE$2:$AE$500),Docs!$AD$2:$AD$51,0))&amp;"",""))</f>
        <v/>
      </c>
      <c r="C42" s="2">
        <f>IF(A42&lt;=COUNT(Lines!$AE$2:$AE$500),IFERROR(INDEX(Lines!$H$2:$H$500,MATCH(A42,Lines!$AE$2:$AE$500,0)),""),IFERROR("",""))</f>
        <v/>
      </c>
      <c r="D42" s="2">
        <f>IF(A42&lt;=COUNT(Lines!$AE$2:$AE$500),IFERROR(INDEX(Lines!$I$2:$I$500,MATCH(A42,Lines!$AE$2:$AE$500,0)),""),IFERROR("",""))</f>
        <v/>
      </c>
      <c r="E42" s="2">
        <f>IF(A42&lt;=COUNT(Lines!$AE$2:$AE$500),IFERROR(INDEX(Lines!$J$2:$J$500,MATCH(A42,Lines!$AE$2:$AE$500,0))&amp;"",""),IFERROR("",""))</f>
        <v/>
      </c>
      <c r="F42" s="2">
        <f>IF(A42&lt;=COUNT(Lines!$AE$2:$AE$500),IFERROR(INDEX(Lines!$AD$2:$AD$500,MATCH(A42,Lines!$AE$2:$AE$500,0))&amp;"",""),IFERROR(INDEX(Docs!$AC$2:$AC$51,MATCH(A42-COUNT(Lines!$AE$2:$AE$500),Docs!$AD$2:$AD$51,0))&amp;"",""))</f>
        <v/>
      </c>
    </row>
    <row r="43">
      <c r="A43" s="2" t="n">
        <v>42</v>
      </c>
      <c r="B43" s="2">
        <f>IF(A43&lt;=COUNT(Lines!$AE$2:$AE$500),IFERROR(INDEX(Lines!$E$2:$E$500,MATCH(A43,Lines!$AE$2:$AE$500,0))&amp;"",""),IFERROR(INDEX(Docs!$C$2:$C$51,MATCH(A43-COUNT(Lines!$AE$2:$AE$500),Docs!$AD$2:$AD$51,0))&amp;"",""))</f>
        <v/>
      </c>
      <c r="C43" s="2">
        <f>IF(A43&lt;=COUNT(Lines!$AE$2:$AE$500),IFERROR(INDEX(Lines!$H$2:$H$500,MATCH(A43,Lines!$AE$2:$AE$500,0)),""),IFERROR("",""))</f>
        <v/>
      </c>
      <c r="D43" s="2">
        <f>IF(A43&lt;=COUNT(Lines!$AE$2:$AE$500),IFERROR(INDEX(Lines!$I$2:$I$500,MATCH(A43,Lines!$AE$2:$AE$500,0)),""),IFERROR("",""))</f>
        <v/>
      </c>
      <c r="E43" s="2">
        <f>IF(A43&lt;=COUNT(Lines!$AE$2:$AE$500),IFERROR(INDEX(Lines!$J$2:$J$500,MATCH(A43,Lines!$AE$2:$AE$500,0))&amp;"",""),IFERROR("",""))</f>
        <v/>
      </c>
      <c r="F43" s="2">
        <f>IF(A43&lt;=COUNT(Lines!$AE$2:$AE$500),IFERROR(INDEX(Lines!$AD$2:$AD$500,MATCH(A43,Lines!$AE$2:$AE$500,0))&amp;"",""),IFERROR(INDEX(Docs!$AC$2:$AC$51,MATCH(A43-COUNT(Lines!$AE$2:$AE$500),Docs!$AD$2:$AD$51,0))&amp;"",""))</f>
        <v/>
      </c>
    </row>
    <row r="44">
      <c r="A44" s="2" t="n">
        <v>43</v>
      </c>
      <c r="B44" s="2">
        <f>IF(A44&lt;=COUNT(Lines!$AE$2:$AE$500),IFERROR(INDEX(Lines!$E$2:$E$500,MATCH(A44,Lines!$AE$2:$AE$500,0))&amp;"",""),IFERROR(INDEX(Docs!$C$2:$C$51,MATCH(A44-COUNT(Lines!$AE$2:$AE$500),Docs!$AD$2:$AD$51,0))&amp;"",""))</f>
        <v/>
      </c>
      <c r="C44" s="2">
        <f>IF(A44&lt;=COUNT(Lines!$AE$2:$AE$500),IFERROR(INDEX(Lines!$H$2:$H$500,MATCH(A44,Lines!$AE$2:$AE$500,0)),""),IFERROR("",""))</f>
        <v/>
      </c>
      <c r="D44" s="2">
        <f>IF(A44&lt;=COUNT(Lines!$AE$2:$AE$500),IFERROR(INDEX(Lines!$I$2:$I$500,MATCH(A44,Lines!$AE$2:$AE$500,0)),""),IFERROR("",""))</f>
        <v/>
      </c>
      <c r="E44" s="2">
        <f>IF(A44&lt;=COUNT(Lines!$AE$2:$AE$500),IFERROR(INDEX(Lines!$J$2:$J$500,MATCH(A44,Lines!$AE$2:$AE$500,0))&amp;"",""),IFERROR("",""))</f>
        <v/>
      </c>
      <c r="F44" s="2">
        <f>IF(A44&lt;=COUNT(Lines!$AE$2:$AE$500),IFERROR(INDEX(Lines!$AD$2:$AD$500,MATCH(A44,Lines!$AE$2:$AE$500,0))&amp;"",""),IFERROR(INDEX(Docs!$AC$2:$AC$51,MATCH(A44-COUNT(Lines!$AE$2:$AE$500),Docs!$AD$2:$AD$51,0))&amp;"",""))</f>
        <v/>
      </c>
    </row>
    <row r="45">
      <c r="A45" s="2" t="n">
        <v>44</v>
      </c>
      <c r="B45" s="2">
        <f>IF(A45&lt;=COUNT(Lines!$AE$2:$AE$500),IFERROR(INDEX(Lines!$E$2:$E$500,MATCH(A45,Lines!$AE$2:$AE$500,0))&amp;"",""),IFERROR(INDEX(Docs!$C$2:$C$51,MATCH(A45-COUNT(Lines!$AE$2:$AE$500),Docs!$AD$2:$AD$51,0))&amp;"",""))</f>
        <v/>
      </c>
      <c r="C45" s="2">
        <f>IF(A45&lt;=COUNT(Lines!$AE$2:$AE$500),IFERROR(INDEX(Lines!$H$2:$H$500,MATCH(A45,Lines!$AE$2:$AE$500,0)),""),IFERROR("",""))</f>
        <v/>
      </c>
      <c r="D45" s="2">
        <f>IF(A45&lt;=COUNT(Lines!$AE$2:$AE$500),IFERROR(INDEX(Lines!$I$2:$I$500,MATCH(A45,Lines!$AE$2:$AE$500,0)),""),IFERROR("",""))</f>
        <v/>
      </c>
      <c r="E45" s="2">
        <f>IF(A45&lt;=COUNT(Lines!$AE$2:$AE$500),IFERROR(INDEX(Lines!$J$2:$J$500,MATCH(A45,Lines!$AE$2:$AE$500,0))&amp;"",""),IFERROR("",""))</f>
        <v/>
      </c>
      <c r="F45" s="2">
        <f>IF(A45&lt;=COUNT(Lines!$AE$2:$AE$500),IFERROR(INDEX(Lines!$AD$2:$AD$500,MATCH(A45,Lines!$AE$2:$AE$500,0))&amp;"",""),IFERROR(INDEX(Docs!$AC$2:$AC$51,MATCH(A45-COUNT(Lines!$AE$2:$AE$500),Docs!$AD$2:$AD$51,0))&amp;"",""))</f>
        <v/>
      </c>
    </row>
    <row r="46">
      <c r="A46" s="2" t="n">
        <v>45</v>
      </c>
      <c r="B46" s="2">
        <f>IF(A46&lt;=COUNT(Lines!$AE$2:$AE$500),IFERROR(INDEX(Lines!$E$2:$E$500,MATCH(A46,Lines!$AE$2:$AE$500,0))&amp;"",""),IFERROR(INDEX(Docs!$C$2:$C$51,MATCH(A46-COUNT(Lines!$AE$2:$AE$500),Docs!$AD$2:$AD$51,0))&amp;"",""))</f>
        <v/>
      </c>
      <c r="C46" s="2">
        <f>IF(A46&lt;=COUNT(Lines!$AE$2:$AE$500),IFERROR(INDEX(Lines!$H$2:$H$500,MATCH(A46,Lines!$AE$2:$AE$500,0)),""),IFERROR("",""))</f>
        <v/>
      </c>
      <c r="D46" s="2">
        <f>IF(A46&lt;=COUNT(Lines!$AE$2:$AE$500),IFERROR(INDEX(Lines!$I$2:$I$500,MATCH(A46,Lines!$AE$2:$AE$500,0)),""),IFERROR("",""))</f>
        <v/>
      </c>
      <c r="E46" s="2">
        <f>IF(A46&lt;=COUNT(Lines!$AE$2:$AE$500),IFERROR(INDEX(Lines!$J$2:$J$500,MATCH(A46,Lines!$AE$2:$AE$500,0))&amp;"",""),IFERROR("",""))</f>
        <v/>
      </c>
      <c r="F46" s="2">
        <f>IF(A46&lt;=COUNT(Lines!$AE$2:$AE$500),IFERROR(INDEX(Lines!$AD$2:$AD$500,MATCH(A46,Lines!$AE$2:$AE$500,0))&amp;"",""),IFERROR(INDEX(Docs!$AC$2:$AC$51,MATCH(A46-COUNT(Lines!$AE$2:$AE$500),Docs!$AD$2:$AD$51,0))&amp;"",""))</f>
        <v/>
      </c>
    </row>
    <row r="47">
      <c r="A47" s="2" t="n">
        <v>46</v>
      </c>
      <c r="B47" s="2">
        <f>IF(A47&lt;=COUNT(Lines!$AE$2:$AE$500),IFERROR(INDEX(Lines!$E$2:$E$500,MATCH(A47,Lines!$AE$2:$AE$500,0))&amp;"",""),IFERROR(INDEX(Docs!$C$2:$C$51,MATCH(A47-COUNT(Lines!$AE$2:$AE$500),Docs!$AD$2:$AD$51,0))&amp;"",""))</f>
        <v/>
      </c>
      <c r="C47" s="2">
        <f>IF(A47&lt;=COUNT(Lines!$AE$2:$AE$500),IFERROR(INDEX(Lines!$H$2:$H$500,MATCH(A47,Lines!$AE$2:$AE$500,0)),""),IFERROR("",""))</f>
        <v/>
      </c>
      <c r="D47" s="2">
        <f>IF(A47&lt;=COUNT(Lines!$AE$2:$AE$500),IFERROR(INDEX(Lines!$I$2:$I$500,MATCH(A47,Lines!$AE$2:$AE$500,0)),""),IFERROR("",""))</f>
        <v/>
      </c>
      <c r="E47" s="2">
        <f>IF(A47&lt;=COUNT(Lines!$AE$2:$AE$500),IFERROR(INDEX(Lines!$J$2:$J$500,MATCH(A47,Lines!$AE$2:$AE$500,0))&amp;"",""),IFERROR("",""))</f>
        <v/>
      </c>
      <c r="F47" s="2">
        <f>IF(A47&lt;=COUNT(Lines!$AE$2:$AE$500),IFERROR(INDEX(Lines!$AD$2:$AD$500,MATCH(A47,Lines!$AE$2:$AE$500,0))&amp;"",""),IFERROR(INDEX(Docs!$AC$2:$AC$51,MATCH(A47-COUNT(Lines!$AE$2:$AE$500),Docs!$AD$2:$AD$51,0))&amp;"",""))</f>
        <v/>
      </c>
    </row>
    <row r="48">
      <c r="A48" s="2" t="n">
        <v>47</v>
      </c>
      <c r="B48" s="2">
        <f>IF(A48&lt;=COUNT(Lines!$AE$2:$AE$500),IFERROR(INDEX(Lines!$E$2:$E$500,MATCH(A48,Lines!$AE$2:$AE$500,0))&amp;"",""),IFERROR(INDEX(Docs!$C$2:$C$51,MATCH(A48-COUNT(Lines!$AE$2:$AE$500),Docs!$AD$2:$AD$51,0))&amp;"",""))</f>
        <v/>
      </c>
      <c r="C48" s="2">
        <f>IF(A48&lt;=COUNT(Lines!$AE$2:$AE$500),IFERROR(INDEX(Lines!$H$2:$H$500,MATCH(A48,Lines!$AE$2:$AE$500,0)),""),IFERROR("",""))</f>
        <v/>
      </c>
      <c r="D48" s="2">
        <f>IF(A48&lt;=COUNT(Lines!$AE$2:$AE$500),IFERROR(INDEX(Lines!$I$2:$I$500,MATCH(A48,Lines!$AE$2:$AE$500,0)),""),IFERROR("",""))</f>
        <v/>
      </c>
      <c r="E48" s="2">
        <f>IF(A48&lt;=COUNT(Lines!$AE$2:$AE$500),IFERROR(INDEX(Lines!$J$2:$J$500,MATCH(A48,Lines!$AE$2:$AE$500,0))&amp;"",""),IFERROR("",""))</f>
        <v/>
      </c>
      <c r="F48" s="2">
        <f>IF(A48&lt;=COUNT(Lines!$AE$2:$AE$500),IFERROR(INDEX(Lines!$AD$2:$AD$500,MATCH(A48,Lines!$AE$2:$AE$500,0))&amp;"",""),IFERROR(INDEX(Docs!$AC$2:$AC$51,MATCH(A48-COUNT(Lines!$AE$2:$AE$500),Docs!$AD$2:$AD$51,0))&amp;"",""))</f>
        <v/>
      </c>
    </row>
    <row r="49">
      <c r="A49" s="2" t="n">
        <v>48</v>
      </c>
      <c r="B49" s="2">
        <f>IF(A49&lt;=COUNT(Lines!$AE$2:$AE$500),IFERROR(INDEX(Lines!$E$2:$E$500,MATCH(A49,Lines!$AE$2:$AE$500,0))&amp;"",""),IFERROR(INDEX(Docs!$C$2:$C$51,MATCH(A49-COUNT(Lines!$AE$2:$AE$500),Docs!$AD$2:$AD$51,0))&amp;"",""))</f>
        <v/>
      </c>
      <c r="C49" s="2">
        <f>IF(A49&lt;=COUNT(Lines!$AE$2:$AE$500),IFERROR(INDEX(Lines!$H$2:$H$500,MATCH(A49,Lines!$AE$2:$AE$500,0)),""),IFERROR("",""))</f>
        <v/>
      </c>
      <c r="D49" s="2">
        <f>IF(A49&lt;=COUNT(Lines!$AE$2:$AE$500),IFERROR(INDEX(Lines!$I$2:$I$500,MATCH(A49,Lines!$AE$2:$AE$500,0)),""),IFERROR("",""))</f>
        <v/>
      </c>
      <c r="E49" s="2">
        <f>IF(A49&lt;=COUNT(Lines!$AE$2:$AE$500),IFERROR(INDEX(Lines!$J$2:$J$500,MATCH(A49,Lines!$AE$2:$AE$500,0))&amp;"",""),IFERROR("",""))</f>
        <v/>
      </c>
      <c r="F49" s="2">
        <f>IF(A49&lt;=COUNT(Lines!$AE$2:$AE$500),IFERROR(INDEX(Lines!$AD$2:$AD$500,MATCH(A49,Lines!$AE$2:$AE$500,0))&amp;"",""),IFERROR(INDEX(Docs!$AC$2:$AC$51,MATCH(A49-COUNT(Lines!$AE$2:$AE$500),Docs!$AD$2:$AD$51,0))&amp;"",""))</f>
        <v/>
      </c>
    </row>
    <row r="50">
      <c r="A50" s="2" t="n">
        <v>49</v>
      </c>
      <c r="B50" s="2">
        <f>IF(A50&lt;=COUNT(Lines!$AE$2:$AE$500),IFERROR(INDEX(Lines!$E$2:$E$500,MATCH(A50,Lines!$AE$2:$AE$500,0))&amp;"",""),IFERROR(INDEX(Docs!$C$2:$C$51,MATCH(A50-COUNT(Lines!$AE$2:$AE$500),Docs!$AD$2:$AD$51,0))&amp;"",""))</f>
        <v/>
      </c>
      <c r="C50" s="2">
        <f>IF(A50&lt;=COUNT(Lines!$AE$2:$AE$500),IFERROR(INDEX(Lines!$H$2:$H$500,MATCH(A50,Lines!$AE$2:$AE$500,0)),""),IFERROR("",""))</f>
        <v/>
      </c>
      <c r="D50" s="2">
        <f>IF(A50&lt;=COUNT(Lines!$AE$2:$AE$500),IFERROR(INDEX(Lines!$I$2:$I$500,MATCH(A50,Lines!$AE$2:$AE$500,0)),""),IFERROR("",""))</f>
        <v/>
      </c>
      <c r="E50" s="2">
        <f>IF(A50&lt;=COUNT(Lines!$AE$2:$AE$500),IFERROR(INDEX(Lines!$J$2:$J$500,MATCH(A50,Lines!$AE$2:$AE$500,0))&amp;"",""),IFERROR("",""))</f>
        <v/>
      </c>
      <c r="F50" s="2">
        <f>IF(A50&lt;=COUNT(Lines!$AE$2:$AE$500),IFERROR(INDEX(Lines!$AD$2:$AD$500,MATCH(A50,Lines!$AE$2:$AE$500,0))&amp;"",""),IFERROR(INDEX(Docs!$AC$2:$AC$51,MATCH(A50-COUNT(Lines!$AE$2:$AE$500),Docs!$AD$2:$AD$51,0))&amp;"",""))</f>
        <v/>
      </c>
    </row>
    <row r="51">
      <c r="A51" s="2" t="n">
        <v>50</v>
      </c>
      <c r="B51" s="2">
        <f>IF(A51&lt;=COUNT(Lines!$AE$2:$AE$500),IFERROR(INDEX(Lines!$E$2:$E$500,MATCH(A51,Lines!$AE$2:$AE$500,0))&amp;"",""),IFERROR(INDEX(Docs!$C$2:$C$51,MATCH(A51-COUNT(Lines!$AE$2:$AE$500),Docs!$AD$2:$AD$51,0))&amp;"",""))</f>
        <v/>
      </c>
      <c r="C51" s="2">
        <f>IF(A51&lt;=COUNT(Lines!$AE$2:$AE$500),IFERROR(INDEX(Lines!$H$2:$H$500,MATCH(A51,Lines!$AE$2:$AE$500,0)),""),IFERROR("",""))</f>
        <v/>
      </c>
      <c r="D51" s="2">
        <f>IF(A51&lt;=COUNT(Lines!$AE$2:$AE$500),IFERROR(INDEX(Lines!$I$2:$I$500,MATCH(A51,Lines!$AE$2:$AE$500,0)),""),IFERROR("",""))</f>
        <v/>
      </c>
      <c r="E51" s="2">
        <f>IF(A51&lt;=COUNT(Lines!$AE$2:$AE$500),IFERROR(INDEX(Lines!$J$2:$J$500,MATCH(A51,Lines!$AE$2:$AE$500,0))&amp;"",""),IFERROR("",""))</f>
        <v/>
      </c>
      <c r="F51" s="2">
        <f>IF(A51&lt;=COUNT(Lines!$AE$2:$AE$500),IFERROR(INDEX(Lines!$AD$2:$AD$500,MATCH(A51,Lines!$AE$2:$AE$500,0))&amp;"",""),IFERROR(INDEX(Docs!$AC$2:$AC$51,MATCH(A51-COUNT(Lines!$AE$2:$AE$500),Docs!$AD$2:$AD$51,0))&amp;"",""))</f>
        <v/>
      </c>
    </row>
    <row r="52">
      <c r="A52" s="2" t="n">
        <v>51</v>
      </c>
      <c r="B52" s="2">
        <f>IF(A52&lt;=COUNT(Lines!$AE$2:$AE$500),IFERROR(INDEX(Lines!$E$2:$E$500,MATCH(A52,Lines!$AE$2:$AE$500,0))&amp;"",""),IFERROR(INDEX(Docs!$C$2:$C$51,MATCH(A52-COUNT(Lines!$AE$2:$AE$500),Docs!$AD$2:$AD$51,0))&amp;"",""))</f>
        <v/>
      </c>
      <c r="C52" s="2">
        <f>IF(A52&lt;=COUNT(Lines!$AE$2:$AE$500),IFERROR(INDEX(Lines!$H$2:$H$500,MATCH(A52,Lines!$AE$2:$AE$500,0)),""),IFERROR("",""))</f>
        <v/>
      </c>
      <c r="D52" s="2">
        <f>IF(A52&lt;=COUNT(Lines!$AE$2:$AE$500),IFERROR(INDEX(Lines!$I$2:$I$500,MATCH(A52,Lines!$AE$2:$AE$500,0)),""),IFERROR("",""))</f>
        <v/>
      </c>
      <c r="E52" s="2">
        <f>IF(A52&lt;=COUNT(Lines!$AE$2:$AE$500),IFERROR(INDEX(Lines!$J$2:$J$500,MATCH(A52,Lines!$AE$2:$AE$500,0))&amp;"",""),IFERROR("",""))</f>
        <v/>
      </c>
      <c r="F52" s="2">
        <f>IF(A52&lt;=COUNT(Lines!$AE$2:$AE$500),IFERROR(INDEX(Lines!$AD$2:$AD$500,MATCH(A52,Lines!$AE$2:$AE$500,0))&amp;"",""),IFERROR(INDEX(Docs!$AC$2:$AC$51,MATCH(A52-COUNT(Lines!$AE$2:$AE$500),Docs!$AD$2:$AD$51,0))&amp;"",""))</f>
        <v/>
      </c>
    </row>
    <row r="53">
      <c r="A53" s="2" t="n">
        <v>52</v>
      </c>
      <c r="B53" s="2">
        <f>IF(A53&lt;=COUNT(Lines!$AE$2:$AE$500),IFERROR(INDEX(Lines!$E$2:$E$500,MATCH(A53,Lines!$AE$2:$AE$500,0))&amp;"",""),IFERROR(INDEX(Docs!$C$2:$C$51,MATCH(A53-COUNT(Lines!$AE$2:$AE$500),Docs!$AD$2:$AD$51,0))&amp;"",""))</f>
        <v/>
      </c>
      <c r="C53" s="2">
        <f>IF(A53&lt;=COUNT(Lines!$AE$2:$AE$500),IFERROR(INDEX(Lines!$H$2:$H$500,MATCH(A53,Lines!$AE$2:$AE$500,0)),""),IFERROR("",""))</f>
        <v/>
      </c>
      <c r="D53" s="2">
        <f>IF(A53&lt;=COUNT(Lines!$AE$2:$AE$500),IFERROR(INDEX(Lines!$I$2:$I$500,MATCH(A53,Lines!$AE$2:$AE$500,0)),""),IFERROR("",""))</f>
        <v/>
      </c>
      <c r="E53" s="2">
        <f>IF(A53&lt;=COUNT(Lines!$AE$2:$AE$500),IFERROR(INDEX(Lines!$J$2:$J$500,MATCH(A53,Lines!$AE$2:$AE$500,0))&amp;"",""),IFERROR("",""))</f>
        <v/>
      </c>
      <c r="F53" s="2">
        <f>IF(A53&lt;=COUNT(Lines!$AE$2:$AE$500),IFERROR(INDEX(Lines!$AD$2:$AD$500,MATCH(A53,Lines!$AE$2:$AE$500,0))&amp;"",""),IFERROR(INDEX(Docs!$AC$2:$AC$51,MATCH(A53-COUNT(Lines!$AE$2:$AE$500),Docs!$AD$2:$AD$51,0))&amp;"",""))</f>
        <v/>
      </c>
    </row>
    <row r="54">
      <c r="A54" s="2" t="n">
        <v>53</v>
      </c>
      <c r="B54" s="2">
        <f>IF(A54&lt;=COUNT(Lines!$AE$2:$AE$500),IFERROR(INDEX(Lines!$E$2:$E$500,MATCH(A54,Lines!$AE$2:$AE$500,0))&amp;"",""),IFERROR(INDEX(Docs!$C$2:$C$51,MATCH(A54-COUNT(Lines!$AE$2:$AE$500),Docs!$AD$2:$AD$51,0))&amp;"",""))</f>
        <v/>
      </c>
      <c r="C54" s="2">
        <f>IF(A54&lt;=COUNT(Lines!$AE$2:$AE$500),IFERROR(INDEX(Lines!$H$2:$H$500,MATCH(A54,Lines!$AE$2:$AE$500,0)),""),IFERROR("",""))</f>
        <v/>
      </c>
      <c r="D54" s="2">
        <f>IF(A54&lt;=COUNT(Lines!$AE$2:$AE$500),IFERROR(INDEX(Lines!$I$2:$I$500,MATCH(A54,Lines!$AE$2:$AE$500,0)),""),IFERROR("",""))</f>
        <v/>
      </c>
      <c r="E54" s="2">
        <f>IF(A54&lt;=COUNT(Lines!$AE$2:$AE$500),IFERROR(INDEX(Lines!$J$2:$J$500,MATCH(A54,Lines!$AE$2:$AE$500,0))&amp;"",""),IFERROR("",""))</f>
        <v/>
      </c>
      <c r="F54" s="2">
        <f>IF(A54&lt;=COUNT(Lines!$AE$2:$AE$500),IFERROR(INDEX(Lines!$AD$2:$AD$500,MATCH(A54,Lines!$AE$2:$AE$500,0))&amp;"",""),IFERROR(INDEX(Docs!$AC$2:$AC$51,MATCH(A54-COUNT(Lines!$AE$2:$AE$500),Docs!$AD$2:$AD$51,0))&amp;"",""))</f>
        <v/>
      </c>
    </row>
    <row r="55">
      <c r="A55" s="2" t="n">
        <v>54</v>
      </c>
      <c r="B55" s="2">
        <f>IF(A55&lt;=COUNT(Lines!$AE$2:$AE$500),IFERROR(INDEX(Lines!$E$2:$E$500,MATCH(A55,Lines!$AE$2:$AE$500,0))&amp;"",""),IFERROR(INDEX(Docs!$C$2:$C$51,MATCH(A55-COUNT(Lines!$AE$2:$AE$500),Docs!$AD$2:$AD$51,0))&amp;"",""))</f>
        <v/>
      </c>
      <c r="C55" s="2">
        <f>IF(A55&lt;=COUNT(Lines!$AE$2:$AE$500),IFERROR(INDEX(Lines!$H$2:$H$500,MATCH(A55,Lines!$AE$2:$AE$500,0)),""),IFERROR("",""))</f>
        <v/>
      </c>
      <c r="D55" s="2">
        <f>IF(A55&lt;=COUNT(Lines!$AE$2:$AE$500),IFERROR(INDEX(Lines!$I$2:$I$500,MATCH(A55,Lines!$AE$2:$AE$500,0)),""),IFERROR("",""))</f>
        <v/>
      </c>
      <c r="E55" s="2">
        <f>IF(A55&lt;=COUNT(Lines!$AE$2:$AE$500),IFERROR(INDEX(Lines!$J$2:$J$500,MATCH(A55,Lines!$AE$2:$AE$500,0))&amp;"",""),IFERROR("",""))</f>
        <v/>
      </c>
      <c r="F55" s="2">
        <f>IF(A55&lt;=COUNT(Lines!$AE$2:$AE$500),IFERROR(INDEX(Lines!$AD$2:$AD$500,MATCH(A55,Lines!$AE$2:$AE$500,0))&amp;"",""),IFERROR(INDEX(Docs!$AC$2:$AC$51,MATCH(A55-COUNT(Lines!$AE$2:$AE$500),Docs!$AD$2:$AD$51,0))&amp;"",""))</f>
        <v/>
      </c>
    </row>
    <row r="56">
      <c r="A56" s="2" t="n">
        <v>55</v>
      </c>
      <c r="B56" s="2">
        <f>IF(A56&lt;=COUNT(Lines!$AE$2:$AE$500),IFERROR(INDEX(Lines!$E$2:$E$500,MATCH(A56,Lines!$AE$2:$AE$500,0))&amp;"",""),IFERROR(INDEX(Docs!$C$2:$C$51,MATCH(A56-COUNT(Lines!$AE$2:$AE$500),Docs!$AD$2:$AD$51,0))&amp;"",""))</f>
        <v/>
      </c>
      <c r="C56" s="2">
        <f>IF(A56&lt;=COUNT(Lines!$AE$2:$AE$500),IFERROR(INDEX(Lines!$H$2:$H$500,MATCH(A56,Lines!$AE$2:$AE$500,0)),""),IFERROR("",""))</f>
        <v/>
      </c>
      <c r="D56" s="2">
        <f>IF(A56&lt;=COUNT(Lines!$AE$2:$AE$500),IFERROR(INDEX(Lines!$I$2:$I$500,MATCH(A56,Lines!$AE$2:$AE$500,0)),""),IFERROR("",""))</f>
        <v/>
      </c>
      <c r="E56" s="2">
        <f>IF(A56&lt;=COUNT(Lines!$AE$2:$AE$500),IFERROR(INDEX(Lines!$J$2:$J$500,MATCH(A56,Lines!$AE$2:$AE$500,0))&amp;"",""),IFERROR("",""))</f>
        <v/>
      </c>
      <c r="F56" s="2">
        <f>IF(A56&lt;=COUNT(Lines!$AE$2:$AE$500),IFERROR(INDEX(Lines!$AD$2:$AD$500,MATCH(A56,Lines!$AE$2:$AE$500,0))&amp;"",""),IFERROR(INDEX(Docs!$AC$2:$AC$51,MATCH(A56-COUNT(Lines!$AE$2:$AE$500),Docs!$AD$2:$AD$51,0))&amp;"",""))</f>
        <v/>
      </c>
    </row>
    <row r="57">
      <c r="A57" s="2" t="n">
        <v>56</v>
      </c>
      <c r="B57" s="2">
        <f>IF(A57&lt;=COUNT(Lines!$AE$2:$AE$500),IFERROR(INDEX(Lines!$E$2:$E$500,MATCH(A57,Lines!$AE$2:$AE$500,0))&amp;"",""),IFERROR(INDEX(Docs!$C$2:$C$51,MATCH(A57-COUNT(Lines!$AE$2:$AE$500),Docs!$AD$2:$AD$51,0))&amp;"",""))</f>
        <v/>
      </c>
      <c r="C57" s="2">
        <f>IF(A57&lt;=COUNT(Lines!$AE$2:$AE$500),IFERROR(INDEX(Lines!$H$2:$H$500,MATCH(A57,Lines!$AE$2:$AE$500,0)),""),IFERROR("",""))</f>
        <v/>
      </c>
      <c r="D57" s="2">
        <f>IF(A57&lt;=COUNT(Lines!$AE$2:$AE$500),IFERROR(INDEX(Lines!$I$2:$I$500,MATCH(A57,Lines!$AE$2:$AE$500,0)),""),IFERROR("",""))</f>
        <v/>
      </c>
      <c r="E57" s="2">
        <f>IF(A57&lt;=COUNT(Lines!$AE$2:$AE$500),IFERROR(INDEX(Lines!$J$2:$J$500,MATCH(A57,Lines!$AE$2:$AE$500,0))&amp;"",""),IFERROR("",""))</f>
        <v/>
      </c>
      <c r="F57" s="2">
        <f>IF(A57&lt;=COUNT(Lines!$AE$2:$AE$500),IFERROR(INDEX(Lines!$AD$2:$AD$500,MATCH(A57,Lines!$AE$2:$AE$500,0))&amp;"",""),IFERROR(INDEX(Docs!$AC$2:$AC$51,MATCH(A57-COUNT(Lines!$AE$2:$AE$500),Docs!$AD$2:$AD$51,0))&amp;"",""))</f>
        <v/>
      </c>
    </row>
    <row r="58">
      <c r="A58" s="2" t="n">
        <v>57</v>
      </c>
      <c r="B58" s="2">
        <f>IF(A58&lt;=COUNT(Lines!$AE$2:$AE$500),IFERROR(INDEX(Lines!$E$2:$E$500,MATCH(A58,Lines!$AE$2:$AE$500,0))&amp;"",""),IFERROR(INDEX(Docs!$C$2:$C$51,MATCH(A58-COUNT(Lines!$AE$2:$AE$500),Docs!$AD$2:$AD$51,0))&amp;"",""))</f>
        <v/>
      </c>
      <c r="C58" s="2">
        <f>IF(A58&lt;=COUNT(Lines!$AE$2:$AE$500),IFERROR(INDEX(Lines!$H$2:$H$500,MATCH(A58,Lines!$AE$2:$AE$500,0)),""),IFERROR("",""))</f>
        <v/>
      </c>
      <c r="D58" s="2">
        <f>IF(A58&lt;=COUNT(Lines!$AE$2:$AE$500),IFERROR(INDEX(Lines!$I$2:$I$500,MATCH(A58,Lines!$AE$2:$AE$500,0)),""),IFERROR("",""))</f>
        <v/>
      </c>
      <c r="E58" s="2">
        <f>IF(A58&lt;=COUNT(Lines!$AE$2:$AE$500),IFERROR(INDEX(Lines!$J$2:$J$500,MATCH(A58,Lines!$AE$2:$AE$500,0))&amp;"",""),IFERROR("",""))</f>
        <v/>
      </c>
      <c r="F58" s="2">
        <f>IF(A58&lt;=COUNT(Lines!$AE$2:$AE$500),IFERROR(INDEX(Lines!$AD$2:$AD$500,MATCH(A58,Lines!$AE$2:$AE$500,0))&amp;"",""),IFERROR(INDEX(Docs!$AC$2:$AC$51,MATCH(A58-COUNT(Lines!$AE$2:$AE$500),Docs!$AD$2:$AD$51,0))&amp;"",""))</f>
        <v/>
      </c>
    </row>
    <row r="59">
      <c r="A59" s="2" t="n">
        <v>58</v>
      </c>
      <c r="B59" s="2">
        <f>IF(A59&lt;=COUNT(Lines!$AE$2:$AE$500),IFERROR(INDEX(Lines!$E$2:$E$500,MATCH(A59,Lines!$AE$2:$AE$500,0))&amp;"",""),IFERROR(INDEX(Docs!$C$2:$C$51,MATCH(A59-COUNT(Lines!$AE$2:$AE$500),Docs!$AD$2:$AD$51,0))&amp;"",""))</f>
        <v/>
      </c>
      <c r="C59" s="2">
        <f>IF(A59&lt;=COUNT(Lines!$AE$2:$AE$500),IFERROR(INDEX(Lines!$H$2:$H$500,MATCH(A59,Lines!$AE$2:$AE$500,0)),""),IFERROR("",""))</f>
        <v/>
      </c>
      <c r="D59" s="2">
        <f>IF(A59&lt;=COUNT(Lines!$AE$2:$AE$500),IFERROR(INDEX(Lines!$I$2:$I$500,MATCH(A59,Lines!$AE$2:$AE$500,0)),""),IFERROR("",""))</f>
        <v/>
      </c>
      <c r="E59" s="2">
        <f>IF(A59&lt;=COUNT(Lines!$AE$2:$AE$500),IFERROR(INDEX(Lines!$J$2:$J$500,MATCH(A59,Lines!$AE$2:$AE$500,0))&amp;"",""),IFERROR("",""))</f>
        <v/>
      </c>
      <c r="F59" s="2">
        <f>IF(A59&lt;=COUNT(Lines!$AE$2:$AE$500),IFERROR(INDEX(Lines!$AD$2:$AD$500,MATCH(A59,Lines!$AE$2:$AE$500,0))&amp;"",""),IFERROR(INDEX(Docs!$AC$2:$AC$51,MATCH(A59-COUNT(Lines!$AE$2:$AE$500),Docs!$AD$2:$AD$51,0))&amp;"",""))</f>
        <v/>
      </c>
    </row>
    <row r="60">
      <c r="A60" s="2" t="n">
        <v>59</v>
      </c>
      <c r="B60" s="2">
        <f>IF(A60&lt;=COUNT(Lines!$AE$2:$AE$500),IFERROR(INDEX(Lines!$E$2:$E$500,MATCH(A60,Lines!$AE$2:$AE$500,0))&amp;"",""),IFERROR(INDEX(Docs!$C$2:$C$51,MATCH(A60-COUNT(Lines!$AE$2:$AE$500),Docs!$AD$2:$AD$51,0))&amp;"",""))</f>
        <v/>
      </c>
      <c r="C60" s="2">
        <f>IF(A60&lt;=COUNT(Lines!$AE$2:$AE$500),IFERROR(INDEX(Lines!$H$2:$H$500,MATCH(A60,Lines!$AE$2:$AE$500,0)),""),IFERROR("",""))</f>
        <v/>
      </c>
      <c r="D60" s="2">
        <f>IF(A60&lt;=COUNT(Lines!$AE$2:$AE$500),IFERROR(INDEX(Lines!$I$2:$I$500,MATCH(A60,Lines!$AE$2:$AE$500,0)),""),IFERROR("",""))</f>
        <v/>
      </c>
      <c r="E60" s="2">
        <f>IF(A60&lt;=COUNT(Lines!$AE$2:$AE$500),IFERROR(INDEX(Lines!$J$2:$J$500,MATCH(A60,Lines!$AE$2:$AE$500,0))&amp;"",""),IFERROR("",""))</f>
        <v/>
      </c>
      <c r="F60" s="2">
        <f>IF(A60&lt;=COUNT(Lines!$AE$2:$AE$500),IFERROR(INDEX(Lines!$AD$2:$AD$500,MATCH(A60,Lines!$AE$2:$AE$500,0))&amp;"",""),IFERROR(INDEX(Docs!$AC$2:$AC$51,MATCH(A60-COUNT(Lines!$AE$2:$AE$500),Docs!$AD$2:$AD$51,0))&amp;"",""))</f>
        <v/>
      </c>
    </row>
    <row r="61">
      <c r="A61" s="2" t="n">
        <v>60</v>
      </c>
      <c r="B61" s="2">
        <f>IF(A61&lt;=COUNT(Lines!$AE$2:$AE$500),IFERROR(INDEX(Lines!$E$2:$E$500,MATCH(A61,Lines!$AE$2:$AE$500,0))&amp;"",""),IFERROR(INDEX(Docs!$C$2:$C$51,MATCH(A61-COUNT(Lines!$AE$2:$AE$500),Docs!$AD$2:$AD$51,0))&amp;"",""))</f>
        <v/>
      </c>
      <c r="C61" s="2">
        <f>IF(A61&lt;=COUNT(Lines!$AE$2:$AE$500),IFERROR(INDEX(Lines!$H$2:$H$500,MATCH(A61,Lines!$AE$2:$AE$500,0)),""),IFERROR("",""))</f>
        <v/>
      </c>
      <c r="D61" s="2">
        <f>IF(A61&lt;=COUNT(Lines!$AE$2:$AE$500),IFERROR(INDEX(Lines!$I$2:$I$500,MATCH(A61,Lines!$AE$2:$AE$500,0)),""),IFERROR("",""))</f>
        <v/>
      </c>
      <c r="E61" s="2">
        <f>IF(A61&lt;=COUNT(Lines!$AE$2:$AE$500),IFERROR(INDEX(Lines!$J$2:$J$500,MATCH(A61,Lines!$AE$2:$AE$500,0))&amp;"",""),IFERROR("",""))</f>
        <v/>
      </c>
      <c r="F61" s="2">
        <f>IF(A61&lt;=COUNT(Lines!$AE$2:$AE$500),IFERROR(INDEX(Lines!$AD$2:$AD$500,MATCH(A61,Lines!$AE$2:$AE$500,0))&amp;"",""),IFERROR(INDEX(Docs!$AC$2:$AC$51,MATCH(A61-COUNT(Lines!$AE$2:$AE$500),Docs!$AD$2:$AD$51,0))&amp;"",""))</f>
        <v/>
      </c>
    </row>
    <row r="62">
      <c r="A62" s="2" t="n">
        <v>61</v>
      </c>
      <c r="B62" s="2">
        <f>IF(A62&lt;=COUNT(Lines!$AE$2:$AE$500),IFERROR(INDEX(Lines!$E$2:$E$500,MATCH(A62,Lines!$AE$2:$AE$500,0))&amp;"",""),IFERROR(INDEX(Docs!$C$2:$C$51,MATCH(A62-COUNT(Lines!$AE$2:$AE$500),Docs!$AD$2:$AD$51,0))&amp;"",""))</f>
        <v/>
      </c>
      <c r="C62" s="2">
        <f>IF(A62&lt;=COUNT(Lines!$AE$2:$AE$500),IFERROR(INDEX(Lines!$H$2:$H$500,MATCH(A62,Lines!$AE$2:$AE$500,0)),""),IFERROR("",""))</f>
        <v/>
      </c>
      <c r="D62" s="2">
        <f>IF(A62&lt;=COUNT(Lines!$AE$2:$AE$500),IFERROR(INDEX(Lines!$I$2:$I$500,MATCH(A62,Lines!$AE$2:$AE$500,0)),""),IFERROR("",""))</f>
        <v/>
      </c>
      <c r="E62" s="2">
        <f>IF(A62&lt;=COUNT(Lines!$AE$2:$AE$500),IFERROR(INDEX(Lines!$J$2:$J$500,MATCH(A62,Lines!$AE$2:$AE$500,0))&amp;"",""),IFERROR("",""))</f>
        <v/>
      </c>
      <c r="F62" s="2">
        <f>IF(A62&lt;=COUNT(Lines!$AE$2:$AE$500),IFERROR(INDEX(Lines!$AD$2:$AD$500,MATCH(A62,Lines!$AE$2:$AE$500,0))&amp;"",""),IFERROR(INDEX(Docs!$AC$2:$AC$51,MATCH(A62-COUNT(Lines!$AE$2:$AE$500),Docs!$AD$2:$AD$51,0))&amp;"",""))</f>
        <v/>
      </c>
    </row>
    <row r="63">
      <c r="A63" s="2" t="n">
        <v>62</v>
      </c>
      <c r="B63" s="2">
        <f>IF(A63&lt;=COUNT(Lines!$AE$2:$AE$500),IFERROR(INDEX(Lines!$E$2:$E$500,MATCH(A63,Lines!$AE$2:$AE$500,0))&amp;"",""),IFERROR(INDEX(Docs!$C$2:$C$51,MATCH(A63-COUNT(Lines!$AE$2:$AE$500),Docs!$AD$2:$AD$51,0))&amp;"",""))</f>
        <v/>
      </c>
      <c r="C63" s="2">
        <f>IF(A63&lt;=COUNT(Lines!$AE$2:$AE$500),IFERROR(INDEX(Lines!$H$2:$H$500,MATCH(A63,Lines!$AE$2:$AE$500,0)),""),IFERROR("",""))</f>
        <v/>
      </c>
      <c r="D63" s="2">
        <f>IF(A63&lt;=COUNT(Lines!$AE$2:$AE$500),IFERROR(INDEX(Lines!$I$2:$I$500,MATCH(A63,Lines!$AE$2:$AE$500,0)),""),IFERROR("",""))</f>
        <v/>
      </c>
      <c r="E63" s="2">
        <f>IF(A63&lt;=COUNT(Lines!$AE$2:$AE$500),IFERROR(INDEX(Lines!$J$2:$J$500,MATCH(A63,Lines!$AE$2:$AE$500,0))&amp;"",""),IFERROR("",""))</f>
        <v/>
      </c>
      <c r="F63" s="2">
        <f>IF(A63&lt;=COUNT(Lines!$AE$2:$AE$500),IFERROR(INDEX(Lines!$AD$2:$AD$500,MATCH(A63,Lines!$AE$2:$AE$500,0))&amp;"",""),IFERROR(INDEX(Docs!$AC$2:$AC$51,MATCH(A63-COUNT(Lines!$AE$2:$AE$500),Docs!$AD$2:$AD$51,0))&amp;"",""))</f>
        <v/>
      </c>
    </row>
    <row r="64">
      <c r="A64" s="2" t="n">
        <v>63</v>
      </c>
      <c r="B64" s="2">
        <f>IF(A64&lt;=COUNT(Lines!$AE$2:$AE$500),IFERROR(INDEX(Lines!$E$2:$E$500,MATCH(A64,Lines!$AE$2:$AE$500,0))&amp;"",""),IFERROR(INDEX(Docs!$C$2:$C$51,MATCH(A64-COUNT(Lines!$AE$2:$AE$500),Docs!$AD$2:$AD$51,0))&amp;"",""))</f>
        <v/>
      </c>
      <c r="C64" s="2">
        <f>IF(A64&lt;=COUNT(Lines!$AE$2:$AE$500),IFERROR(INDEX(Lines!$H$2:$H$500,MATCH(A64,Lines!$AE$2:$AE$500,0)),""),IFERROR("",""))</f>
        <v/>
      </c>
      <c r="D64" s="2">
        <f>IF(A64&lt;=COUNT(Lines!$AE$2:$AE$500),IFERROR(INDEX(Lines!$I$2:$I$500,MATCH(A64,Lines!$AE$2:$AE$500,0)),""),IFERROR("",""))</f>
        <v/>
      </c>
      <c r="E64" s="2">
        <f>IF(A64&lt;=COUNT(Lines!$AE$2:$AE$500),IFERROR(INDEX(Lines!$J$2:$J$500,MATCH(A64,Lines!$AE$2:$AE$500,0))&amp;"",""),IFERROR("",""))</f>
        <v/>
      </c>
      <c r="F64" s="2">
        <f>IF(A64&lt;=COUNT(Lines!$AE$2:$AE$500),IFERROR(INDEX(Lines!$AD$2:$AD$500,MATCH(A64,Lines!$AE$2:$AE$500,0))&amp;"",""),IFERROR(INDEX(Docs!$AC$2:$AC$51,MATCH(A64-COUNT(Lines!$AE$2:$AE$500),Docs!$AD$2:$AD$51,0))&amp;"",""))</f>
        <v/>
      </c>
    </row>
    <row r="65">
      <c r="A65" s="2" t="n">
        <v>64</v>
      </c>
      <c r="B65" s="2">
        <f>IF(A65&lt;=COUNT(Lines!$AE$2:$AE$500),IFERROR(INDEX(Lines!$E$2:$E$500,MATCH(A65,Lines!$AE$2:$AE$500,0))&amp;"",""),IFERROR(INDEX(Docs!$C$2:$C$51,MATCH(A65-COUNT(Lines!$AE$2:$AE$500),Docs!$AD$2:$AD$51,0))&amp;"",""))</f>
        <v/>
      </c>
      <c r="C65" s="2">
        <f>IF(A65&lt;=COUNT(Lines!$AE$2:$AE$500),IFERROR(INDEX(Lines!$H$2:$H$500,MATCH(A65,Lines!$AE$2:$AE$500,0)),""),IFERROR("",""))</f>
        <v/>
      </c>
      <c r="D65" s="2">
        <f>IF(A65&lt;=COUNT(Lines!$AE$2:$AE$500),IFERROR(INDEX(Lines!$I$2:$I$500,MATCH(A65,Lines!$AE$2:$AE$500,0)),""),IFERROR("",""))</f>
        <v/>
      </c>
      <c r="E65" s="2">
        <f>IF(A65&lt;=COUNT(Lines!$AE$2:$AE$500),IFERROR(INDEX(Lines!$J$2:$J$500,MATCH(A65,Lines!$AE$2:$AE$500,0))&amp;"",""),IFERROR("",""))</f>
        <v/>
      </c>
      <c r="F65" s="2">
        <f>IF(A65&lt;=COUNT(Lines!$AE$2:$AE$500),IFERROR(INDEX(Lines!$AD$2:$AD$500,MATCH(A65,Lines!$AE$2:$AE$500,0))&amp;"",""),IFERROR(INDEX(Docs!$AC$2:$AC$51,MATCH(A65-COUNT(Lines!$AE$2:$AE$500),Docs!$AD$2:$AD$51,0))&amp;"",""))</f>
        <v/>
      </c>
    </row>
    <row r="66">
      <c r="A66" s="2" t="n">
        <v>65</v>
      </c>
      <c r="B66" s="2">
        <f>IF(A66&lt;=COUNT(Lines!$AE$2:$AE$500),IFERROR(INDEX(Lines!$E$2:$E$500,MATCH(A66,Lines!$AE$2:$AE$500,0))&amp;"",""),IFERROR(INDEX(Docs!$C$2:$C$51,MATCH(A66-COUNT(Lines!$AE$2:$AE$500),Docs!$AD$2:$AD$51,0))&amp;"",""))</f>
        <v/>
      </c>
      <c r="C66" s="2">
        <f>IF(A66&lt;=COUNT(Lines!$AE$2:$AE$500),IFERROR(INDEX(Lines!$H$2:$H$500,MATCH(A66,Lines!$AE$2:$AE$500,0)),""),IFERROR("",""))</f>
        <v/>
      </c>
      <c r="D66" s="2">
        <f>IF(A66&lt;=COUNT(Lines!$AE$2:$AE$500),IFERROR(INDEX(Lines!$I$2:$I$500,MATCH(A66,Lines!$AE$2:$AE$500,0)),""),IFERROR("",""))</f>
        <v/>
      </c>
      <c r="E66" s="2">
        <f>IF(A66&lt;=COUNT(Lines!$AE$2:$AE$500),IFERROR(INDEX(Lines!$J$2:$J$500,MATCH(A66,Lines!$AE$2:$AE$500,0))&amp;"",""),IFERROR("",""))</f>
        <v/>
      </c>
      <c r="F66" s="2">
        <f>IF(A66&lt;=COUNT(Lines!$AE$2:$AE$500),IFERROR(INDEX(Lines!$AD$2:$AD$500,MATCH(A66,Lines!$AE$2:$AE$500,0))&amp;"",""),IFERROR(INDEX(Docs!$AC$2:$AC$51,MATCH(A66-COUNT(Lines!$AE$2:$AE$500),Docs!$AD$2:$AD$51,0))&amp;"",""))</f>
        <v/>
      </c>
    </row>
    <row r="67">
      <c r="A67" s="2" t="n">
        <v>66</v>
      </c>
      <c r="B67" s="2">
        <f>IF(A67&lt;=COUNT(Lines!$AE$2:$AE$500),IFERROR(INDEX(Lines!$E$2:$E$500,MATCH(A67,Lines!$AE$2:$AE$500,0))&amp;"",""),IFERROR(INDEX(Docs!$C$2:$C$51,MATCH(A67-COUNT(Lines!$AE$2:$AE$500),Docs!$AD$2:$AD$51,0))&amp;"",""))</f>
        <v/>
      </c>
      <c r="C67" s="2">
        <f>IF(A67&lt;=COUNT(Lines!$AE$2:$AE$500),IFERROR(INDEX(Lines!$H$2:$H$500,MATCH(A67,Lines!$AE$2:$AE$500,0)),""),IFERROR("",""))</f>
        <v/>
      </c>
      <c r="D67" s="2">
        <f>IF(A67&lt;=COUNT(Lines!$AE$2:$AE$500),IFERROR(INDEX(Lines!$I$2:$I$500,MATCH(A67,Lines!$AE$2:$AE$500,0)),""),IFERROR("",""))</f>
        <v/>
      </c>
      <c r="E67" s="2">
        <f>IF(A67&lt;=COUNT(Lines!$AE$2:$AE$500),IFERROR(INDEX(Lines!$J$2:$J$500,MATCH(A67,Lines!$AE$2:$AE$500,0))&amp;"",""),IFERROR("",""))</f>
        <v/>
      </c>
      <c r="F67" s="2">
        <f>IF(A67&lt;=COUNT(Lines!$AE$2:$AE$500),IFERROR(INDEX(Lines!$AD$2:$AD$500,MATCH(A67,Lines!$AE$2:$AE$500,0))&amp;"",""),IFERROR(INDEX(Docs!$AC$2:$AC$51,MATCH(A67-COUNT(Lines!$AE$2:$AE$500),Docs!$AD$2:$AD$51,0))&amp;"",""))</f>
        <v/>
      </c>
    </row>
    <row r="68">
      <c r="A68" s="2" t="n">
        <v>67</v>
      </c>
      <c r="B68" s="2">
        <f>IF(A68&lt;=COUNT(Lines!$AE$2:$AE$500),IFERROR(INDEX(Lines!$E$2:$E$500,MATCH(A68,Lines!$AE$2:$AE$500,0))&amp;"",""),IFERROR(INDEX(Docs!$C$2:$C$51,MATCH(A68-COUNT(Lines!$AE$2:$AE$500),Docs!$AD$2:$AD$51,0))&amp;"",""))</f>
        <v/>
      </c>
      <c r="C68" s="2">
        <f>IF(A68&lt;=COUNT(Lines!$AE$2:$AE$500),IFERROR(INDEX(Lines!$H$2:$H$500,MATCH(A68,Lines!$AE$2:$AE$500,0)),""),IFERROR("",""))</f>
        <v/>
      </c>
      <c r="D68" s="2">
        <f>IF(A68&lt;=COUNT(Lines!$AE$2:$AE$500),IFERROR(INDEX(Lines!$I$2:$I$500,MATCH(A68,Lines!$AE$2:$AE$500,0)),""),IFERROR("",""))</f>
        <v/>
      </c>
      <c r="E68" s="2">
        <f>IF(A68&lt;=COUNT(Lines!$AE$2:$AE$500),IFERROR(INDEX(Lines!$J$2:$J$500,MATCH(A68,Lines!$AE$2:$AE$500,0))&amp;"",""),IFERROR("",""))</f>
        <v/>
      </c>
      <c r="F68" s="2">
        <f>IF(A68&lt;=COUNT(Lines!$AE$2:$AE$500),IFERROR(INDEX(Lines!$AD$2:$AD$500,MATCH(A68,Lines!$AE$2:$AE$500,0))&amp;"",""),IFERROR(INDEX(Docs!$AC$2:$AC$51,MATCH(A68-COUNT(Lines!$AE$2:$AE$500),Docs!$AD$2:$AD$51,0))&amp;"",""))</f>
        <v/>
      </c>
    </row>
    <row r="69">
      <c r="A69" s="2" t="n">
        <v>68</v>
      </c>
      <c r="B69" s="2">
        <f>IF(A69&lt;=COUNT(Lines!$AE$2:$AE$500),IFERROR(INDEX(Lines!$E$2:$E$500,MATCH(A69,Lines!$AE$2:$AE$500,0))&amp;"",""),IFERROR(INDEX(Docs!$C$2:$C$51,MATCH(A69-COUNT(Lines!$AE$2:$AE$500),Docs!$AD$2:$AD$51,0))&amp;"",""))</f>
        <v/>
      </c>
      <c r="C69" s="2">
        <f>IF(A69&lt;=COUNT(Lines!$AE$2:$AE$500),IFERROR(INDEX(Lines!$H$2:$H$500,MATCH(A69,Lines!$AE$2:$AE$500,0)),""),IFERROR("",""))</f>
        <v/>
      </c>
      <c r="D69" s="2">
        <f>IF(A69&lt;=COUNT(Lines!$AE$2:$AE$500),IFERROR(INDEX(Lines!$I$2:$I$500,MATCH(A69,Lines!$AE$2:$AE$500,0)),""),IFERROR("",""))</f>
        <v/>
      </c>
      <c r="E69" s="2">
        <f>IF(A69&lt;=COUNT(Lines!$AE$2:$AE$500),IFERROR(INDEX(Lines!$J$2:$J$500,MATCH(A69,Lines!$AE$2:$AE$500,0))&amp;"",""),IFERROR("",""))</f>
        <v/>
      </c>
      <c r="F69" s="2">
        <f>IF(A69&lt;=COUNT(Lines!$AE$2:$AE$500),IFERROR(INDEX(Lines!$AD$2:$AD$500,MATCH(A69,Lines!$AE$2:$AE$500,0))&amp;"",""),IFERROR(INDEX(Docs!$AC$2:$AC$51,MATCH(A69-COUNT(Lines!$AE$2:$AE$500),Docs!$AD$2:$AD$51,0))&amp;"",""))</f>
        <v/>
      </c>
    </row>
    <row r="70">
      <c r="A70" s="2" t="n">
        <v>69</v>
      </c>
      <c r="B70" s="2">
        <f>IF(A70&lt;=COUNT(Lines!$AE$2:$AE$500),IFERROR(INDEX(Lines!$E$2:$E$500,MATCH(A70,Lines!$AE$2:$AE$500,0))&amp;"",""),IFERROR(INDEX(Docs!$C$2:$C$51,MATCH(A70-COUNT(Lines!$AE$2:$AE$500),Docs!$AD$2:$AD$51,0))&amp;"",""))</f>
        <v/>
      </c>
      <c r="C70" s="2">
        <f>IF(A70&lt;=COUNT(Lines!$AE$2:$AE$500),IFERROR(INDEX(Lines!$H$2:$H$500,MATCH(A70,Lines!$AE$2:$AE$500,0)),""),IFERROR("",""))</f>
        <v/>
      </c>
      <c r="D70" s="2">
        <f>IF(A70&lt;=COUNT(Lines!$AE$2:$AE$500),IFERROR(INDEX(Lines!$I$2:$I$500,MATCH(A70,Lines!$AE$2:$AE$500,0)),""),IFERROR("",""))</f>
        <v/>
      </c>
      <c r="E70" s="2">
        <f>IF(A70&lt;=COUNT(Lines!$AE$2:$AE$500),IFERROR(INDEX(Lines!$J$2:$J$500,MATCH(A70,Lines!$AE$2:$AE$500,0))&amp;"",""),IFERROR("",""))</f>
        <v/>
      </c>
      <c r="F70" s="2">
        <f>IF(A70&lt;=COUNT(Lines!$AE$2:$AE$500),IFERROR(INDEX(Lines!$AD$2:$AD$500,MATCH(A70,Lines!$AE$2:$AE$500,0))&amp;"",""),IFERROR(INDEX(Docs!$AC$2:$AC$51,MATCH(A70-COUNT(Lines!$AE$2:$AE$500),Docs!$AD$2:$AD$51,0))&amp;"",""))</f>
        <v/>
      </c>
    </row>
    <row r="71">
      <c r="A71" s="2" t="n">
        <v>70</v>
      </c>
      <c r="B71" s="2">
        <f>IF(A71&lt;=COUNT(Lines!$AE$2:$AE$500),IFERROR(INDEX(Lines!$E$2:$E$500,MATCH(A71,Lines!$AE$2:$AE$500,0))&amp;"",""),IFERROR(INDEX(Docs!$C$2:$C$51,MATCH(A71-COUNT(Lines!$AE$2:$AE$500),Docs!$AD$2:$AD$51,0))&amp;"",""))</f>
        <v/>
      </c>
      <c r="C71" s="2">
        <f>IF(A71&lt;=COUNT(Lines!$AE$2:$AE$500),IFERROR(INDEX(Lines!$H$2:$H$500,MATCH(A71,Lines!$AE$2:$AE$500,0)),""),IFERROR("",""))</f>
        <v/>
      </c>
      <c r="D71" s="2">
        <f>IF(A71&lt;=COUNT(Lines!$AE$2:$AE$500),IFERROR(INDEX(Lines!$I$2:$I$500,MATCH(A71,Lines!$AE$2:$AE$500,0)),""),IFERROR("",""))</f>
        <v/>
      </c>
      <c r="E71" s="2">
        <f>IF(A71&lt;=COUNT(Lines!$AE$2:$AE$500),IFERROR(INDEX(Lines!$J$2:$J$500,MATCH(A71,Lines!$AE$2:$AE$500,0))&amp;"",""),IFERROR("",""))</f>
        <v/>
      </c>
      <c r="F71" s="2">
        <f>IF(A71&lt;=COUNT(Lines!$AE$2:$AE$500),IFERROR(INDEX(Lines!$AD$2:$AD$500,MATCH(A71,Lines!$AE$2:$AE$500,0))&amp;"",""),IFERROR(INDEX(Docs!$AC$2:$AC$51,MATCH(A71-COUNT(Lines!$AE$2:$AE$500),Docs!$AD$2:$AD$51,0))&amp;"",""))</f>
        <v/>
      </c>
    </row>
    <row r="72">
      <c r="A72" s="2" t="n">
        <v>71</v>
      </c>
      <c r="B72" s="2">
        <f>IF(A72&lt;=COUNT(Lines!$AE$2:$AE$500),IFERROR(INDEX(Lines!$E$2:$E$500,MATCH(A72,Lines!$AE$2:$AE$500,0))&amp;"",""),IFERROR(INDEX(Docs!$C$2:$C$51,MATCH(A72-COUNT(Lines!$AE$2:$AE$500),Docs!$AD$2:$AD$51,0))&amp;"",""))</f>
        <v/>
      </c>
      <c r="C72" s="2">
        <f>IF(A72&lt;=COUNT(Lines!$AE$2:$AE$500),IFERROR(INDEX(Lines!$H$2:$H$500,MATCH(A72,Lines!$AE$2:$AE$500,0)),""),IFERROR("",""))</f>
        <v/>
      </c>
      <c r="D72" s="2">
        <f>IF(A72&lt;=COUNT(Lines!$AE$2:$AE$500),IFERROR(INDEX(Lines!$I$2:$I$500,MATCH(A72,Lines!$AE$2:$AE$500,0)),""),IFERROR("",""))</f>
        <v/>
      </c>
      <c r="E72" s="2">
        <f>IF(A72&lt;=COUNT(Lines!$AE$2:$AE$500),IFERROR(INDEX(Lines!$J$2:$J$500,MATCH(A72,Lines!$AE$2:$AE$500,0))&amp;"",""),IFERROR("",""))</f>
        <v/>
      </c>
      <c r="F72" s="2">
        <f>IF(A72&lt;=COUNT(Lines!$AE$2:$AE$500),IFERROR(INDEX(Lines!$AD$2:$AD$500,MATCH(A72,Lines!$AE$2:$AE$500,0))&amp;"",""),IFERROR(INDEX(Docs!$AC$2:$AC$51,MATCH(A72-COUNT(Lines!$AE$2:$AE$500),Docs!$AD$2:$AD$51,0))&amp;"",""))</f>
        <v/>
      </c>
    </row>
    <row r="73">
      <c r="A73" s="2" t="n">
        <v>72</v>
      </c>
      <c r="B73" s="2">
        <f>IF(A73&lt;=COUNT(Lines!$AE$2:$AE$500),IFERROR(INDEX(Lines!$E$2:$E$500,MATCH(A73,Lines!$AE$2:$AE$500,0))&amp;"",""),IFERROR(INDEX(Docs!$C$2:$C$51,MATCH(A73-COUNT(Lines!$AE$2:$AE$500),Docs!$AD$2:$AD$51,0))&amp;"",""))</f>
        <v/>
      </c>
      <c r="C73" s="2">
        <f>IF(A73&lt;=COUNT(Lines!$AE$2:$AE$500),IFERROR(INDEX(Lines!$H$2:$H$500,MATCH(A73,Lines!$AE$2:$AE$500,0)),""),IFERROR("",""))</f>
        <v/>
      </c>
      <c r="D73" s="2">
        <f>IF(A73&lt;=COUNT(Lines!$AE$2:$AE$500),IFERROR(INDEX(Lines!$I$2:$I$500,MATCH(A73,Lines!$AE$2:$AE$500,0)),""),IFERROR("",""))</f>
        <v/>
      </c>
      <c r="E73" s="2">
        <f>IF(A73&lt;=COUNT(Lines!$AE$2:$AE$500),IFERROR(INDEX(Lines!$J$2:$J$500,MATCH(A73,Lines!$AE$2:$AE$500,0))&amp;"",""),IFERROR("",""))</f>
        <v/>
      </c>
      <c r="F73" s="2">
        <f>IF(A73&lt;=COUNT(Lines!$AE$2:$AE$500),IFERROR(INDEX(Lines!$AD$2:$AD$500,MATCH(A73,Lines!$AE$2:$AE$500,0))&amp;"",""),IFERROR(INDEX(Docs!$AC$2:$AC$51,MATCH(A73-COUNT(Lines!$AE$2:$AE$500),Docs!$AD$2:$AD$51,0))&amp;"",""))</f>
        <v/>
      </c>
    </row>
    <row r="74">
      <c r="A74" s="2" t="n">
        <v>73</v>
      </c>
      <c r="B74" s="2">
        <f>IF(A74&lt;=COUNT(Lines!$AE$2:$AE$500),IFERROR(INDEX(Lines!$E$2:$E$500,MATCH(A74,Lines!$AE$2:$AE$500,0))&amp;"",""),IFERROR(INDEX(Docs!$C$2:$C$51,MATCH(A74-COUNT(Lines!$AE$2:$AE$500),Docs!$AD$2:$AD$51,0))&amp;"",""))</f>
        <v/>
      </c>
      <c r="C74" s="2">
        <f>IF(A74&lt;=COUNT(Lines!$AE$2:$AE$500),IFERROR(INDEX(Lines!$H$2:$H$500,MATCH(A74,Lines!$AE$2:$AE$500,0)),""),IFERROR("",""))</f>
        <v/>
      </c>
      <c r="D74" s="2">
        <f>IF(A74&lt;=COUNT(Lines!$AE$2:$AE$500),IFERROR(INDEX(Lines!$I$2:$I$500,MATCH(A74,Lines!$AE$2:$AE$500,0)),""),IFERROR("",""))</f>
        <v/>
      </c>
      <c r="E74" s="2">
        <f>IF(A74&lt;=COUNT(Lines!$AE$2:$AE$500),IFERROR(INDEX(Lines!$J$2:$J$500,MATCH(A74,Lines!$AE$2:$AE$500,0))&amp;"",""),IFERROR("",""))</f>
        <v/>
      </c>
      <c r="F74" s="2">
        <f>IF(A74&lt;=COUNT(Lines!$AE$2:$AE$500),IFERROR(INDEX(Lines!$AD$2:$AD$500,MATCH(A74,Lines!$AE$2:$AE$500,0))&amp;"",""),IFERROR(INDEX(Docs!$AC$2:$AC$51,MATCH(A74-COUNT(Lines!$AE$2:$AE$500),Docs!$AD$2:$AD$51,0))&amp;"",""))</f>
        <v/>
      </c>
    </row>
    <row r="75">
      <c r="A75" s="2" t="n">
        <v>74</v>
      </c>
      <c r="B75" s="2">
        <f>IF(A75&lt;=COUNT(Lines!$AE$2:$AE$500),IFERROR(INDEX(Lines!$E$2:$E$500,MATCH(A75,Lines!$AE$2:$AE$500,0))&amp;"",""),IFERROR(INDEX(Docs!$C$2:$C$51,MATCH(A75-COUNT(Lines!$AE$2:$AE$500),Docs!$AD$2:$AD$51,0))&amp;"",""))</f>
        <v/>
      </c>
      <c r="C75" s="2">
        <f>IF(A75&lt;=COUNT(Lines!$AE$2:$AE$500),IFERROR(INDEX(Lines!$H$2:$H$500,MATCH(A75,Lines!$AE$2:$AE$500,0)),""),IFERROR("",""))</f>
        <v/>
      </c>
      <c r="D75" s="2">
        <f>IF(A75&lt;=COUNT(Lines!$AE$2:$AE$500),IFERROR(INDEX(Lines!$I$2:$I$500,MATCH(A75,Lines!$AE$2:$AE$500,0)),""),IFERROR("",""))</f>
        <v/>
      </c>
      <c r="E75" s="2">
        <f>IF(A75&lt;=COUNT(Lines!$AE$2:$AE$500),IFERROR(INDEX(Lines!$J$2:$J$500,MATCH(A75,Lines!$AE$2:$AE$500,0))&amp;"",""),IFERROR("",""))</f>
        <v/>
      </c>
      <c r="F75" s="2">
        <f>IF(A75&lt;=COUNT(Lines!$AE$2:$AE$500),IFERROR(INDEX(Lines!$AD$2:$AD$500,MATCH(A75,Lines!$AE$2:$AE$500,0))&amp;"",""),IFERROR(INDEX(Docs!$AC$2:$AC$51,MATCH(A75-COUNT(Lines!$AE$2:$AE$500),Docs!$AD$2:$AD$51,0))&amp;"",""))</f>
        <v/>
      </c>
    </row>
    <row r="76">
      <c r="A76" s="2" t="n">
        <v>75</v>
      </c>
      <c r="B76" s="2">
        <f>IF(A76&lt;=COUNT(Lines!$AE$2:$AE$500),IFERROR(INDEX(Lines!$E$2:$E$500,MATCH(A76,Lines!$AE$2:$AE$500,0))&amp;"",""),IFERROR(INDEX(Docs!$C$2:$C$51,MATCH(A76-COUNT(Lines!$AE$2:$AE$500),Docs!$AD$2:$AD$51,0))&amp;"",""))</f>
        <v/>
      </c>
      <c r="C76" s="2">
        <f>IF(A76&lt;=COUNT(Lines!$AE$2:$AE$500),IFERROR(INDEX(Lines!$H$2:$H$500,MATCH(A76,Lines!$AE$2:$AE$500,0)),""),IFERROR("",""))</f>
        <v/>
      </c>
      <c r="D76" s="2">
        <f>IF(A76&lt;=COUNT(Lines!$AE$2:$AE$500),IFERROR(INDEX(Lines!$I$2:$I$500,MATCH(A76,Lines!$AE$2:$AE$500,0)),""),IFERROR("",""))</f>
        <v/>
      </c>
      <c r="E76" s="2">
        <f>IF(A76&lt;=COUNT(Lines!$AE$2:$AE$500),IFERROR(INDEX(Lines!$J$2:$J$500,MATCH(A76,Lines!$AE$2:$AE$500,0))&amp;"",""),IFERROR("",""))</f>
        <v/>
      </c>
      <c r="F76" s="2">
        <f>IF(A76&lt;=COUNT(Lines!$AE$2:$AE$500),IFERROR(INDEX(Lines!$AD$2:$AD$500,MATCH(A76,Lines!$AE$2:$AE$500,0))&amp;"",""),IFERROR(INDEX(Docs!$AC$2:$AC$51,MATCH(A76-COUNT(Lines!$AE$2:$AE$500),Docs!$AD$2:$AD$51,0))&amp;"",""))</f>
        <v/>
      </c>
    </row>
    <row r="77">
      <c r="A77" s="2" t="n">
        <v>76</v>
      </c>
      <c r="B77" s="2">
        <f>IF(A77&lt;=COUNT(Lines!$AE$2:$AE$500),IFERROR(INDEX(Lines!$E$2:$E$500,MATCH(A77,Lines!$AE$2:$AE$500,0))&amp;"",""),IFERROR(INDEX(Docs!$C$2:$C$51,MATCH(A77-COUNT(Lines!$AE$2:$AE$500),Docs!$AD$2:$AD$51,0))&amp;"",""))</f>
        <v/>
      </c>
      <c r="C77" s="2">
        <f>IF(A77&lt;=COUNT(Lines!$AE$2:$AE$500),IFERROR(INDEX(Lines!$H$2:$H$500,MATCH(A77,Lines!$AE$2:$AE$500,0)),""),IFERROR("",""))</f>
        <v/>
      </c>
      <c r="D77" s="2">
        <f>IF(A77&lt;=COUNT(Lines!$AE$2:$AE$500),IFERROR(INDEX(Lines!$I$2:$I$500,MATCH(A77,Lines!$AE$2:$AE$500,0)),""),IFERROR("",""))</f>
        <v/>
      </c>
      <c r="E77" s="2">
        <f>IF(A77&lt;=COUNT(Lines!$AE$2:$AE$500),IFERROR(INDEX(Lines!$J$2:$J$500,MATCH(A77,Lines!$AE$2:$AE$500,0))&amp;"",""),IFERROR("",""))</f>
        <v/>
      </c>
      <c r="F77" s="2">
        <f>IF(A77&lt;=COUNT(Lines!$AE$2:$AE$500),IFERROR(INDEX(Lines!$AD$2:$AD$500,MATCH(A77,Lines!$AE$2:$AE$500,0))&amp;"",""),IFERROR(INDEX(Docs!$AC$2:$AC$51,MATCH(A77-COUNT(Lines!$AE$2:$AE$500),Docs!$AD$2:$AD$51,0))&amp;"",""))</f>
        <v/>
      </c>
    </row>
    <row r="78">
      <c r="A78" s="2" t="n">
        <v>77</v>
      </c>
      <c r="B78" s="2">
        <f>IF(A78&lt;=COUNT(Lines!$AE$2:$AE$500),IFERROR(INDEX(Lines!$E$2:$E$500,MATCH(A78,Lines!$AE$2:$AE$500,0))&amp;"",""),IFERROR(INDEX(Docs!$C$2:$C$51,MATCH(A78-COUNT(Lines!$AE$2:$AE$500),Docs!$AD$2:$AD$51,0))&amp;"",""))</f>
        <v/>
      </c>
      <c r="C78" s="2">
        <f>IF(A78&lt;=COUNT(Lines!$AE$2:$AE$500),IFERROR(INDEX(Lines!$H$2:$H$500,MATCH(A78,Lines!$AE$2:$AE$500,0)),""),IFERROR("",""))</f>
        <v/>
      </c>
      <c r="D78" s="2">
        <f>IF(A78&lt;=COUNT(Lines!$AE$2:$AE$500),IFERROR(INDEX(Lines!$I$2:$I$500,MATCH(A78,Lines!$AE$2:$AE$500,0)),""),IFERROR("",""))</f>
        <v/>
      </c>
      <c r="E78" s="2">
        <f>IF(A78&lt;=COUNT(Lines!$AE$2:$AE$500),IFERROR(INDEX(Lines!$J$2:$J$500,MATCH(A78,Lines!$AE$2:$AE$500,0))&amp;"",""),IFERROR("",""))</f>
        <v/>
      </c>
      <c r="F78" s="2">
        <f>IF(A78&lt;=COUNT(Lines!$AE$2:$AE$500),IFERROR(INDEX(Lines!$AD$2:$AD$500,MATCH(A78,Lines!$AE$2:$AE$500,0))&amp;"",""),IFERROR(INDEX(Docs!$AC$2:$AC$51,MATCH(A78-COUNT(Lines!$AE$2:$AE$500),Docs!$AD$2:$AD$51,0))&amp;"",""))</f>
        <v/>
      </c>
    </row>
    <row r="79">
      <c r="A79" s="2" t="n">
        <v>78</v>
      </c>
      <c r="B79" s="2">
        <f>IF(A79&lt;=COUNT(Lines!$AE$2:$AE$500),IFERROR(INDEX(Lines!$E$2:$E$500,MATCH(A79,Lines!$AE$2:$AE$500,0))&amp;"",""),IFERROR(INDEX(Docs!$C$2:$C$51,MATCH(A79-COUNT(Lines!$AE$2:$AE$500),Docs!$AD$2:$AD$51,0))&amp;"",""))</f>
        <v/>
      </c>
      <c r="C79" s="2">
        <f>IF(A79&lt;=COUNT(Lines!$AE$2:$AE$500),IFERROR(INDEX(Lines!$H$2:$H$500,MATCH(A79,Lines!$AE$2:$AE$500,0)),""),IFERROR("",""))</f>
        <v/>
      </c>
      <c r="D79" s="2">
        <f>IF(A79&lt;=COUNT(Lines!$AE$2:$AE$500),IFERROR(INDEX(Lines!$I$2:$I$500,MATCH(A79,Lines!$AE$2:$AE$500,0)),""),IFERROR("",""))</f>
        <v/>
      </c>
      <c r="E79" s="2">
        <f>IF(A79&lt;=COUNT(Lines!$AE$2:$AE$500),IFERROR(INDEX(Lines!$J$2:$J$500,MATCH(A79,Lines!$AE$2:$AE$500,0))&amp;"",""),IFERROR("",""))</f>
        <v/>
      </c>
      <c r="F79" s="2">
        <f>IF(A79&lt;=COUNT(Lines!$AE$2:$AE$500),IFERROR(INDEX(Lines!$AD$2:$AD$500,MATCH(A79,Lines!$AE$2:$AE$500,0))&amp;"",""),IFERROR(INDEX(Docs!$AC$2:$AC$51,MATCH(A79-COUNT(Lines!$AE$2:$AE$500),Docs!$AD$2:$AD$51,0))&amp;"",""))</f>
        <v/>
      </c>
    </row>
    <row r="80">
      <c r="A80" s="2" t="n">
        <v>79</v>
      </c>
      <c r="B80" s="2">
        <f>IF(A80&lt;=COUNT(Lines!$AE$2:$AE$500),IFERROR(INDEX(Lines!$E$2:$E$500,MATCH(A80,Lines!$AE$2:$AE$500,0))&amp;"",""),IFERROR(INDEX(Docs!$C$2:$C$51,MATCH(A80-COUNT(Lines!$AE$2:$AE$500),Docs!$AD$2:$AD$51,0))&amp;"",""))</f>
        <v/>
      </c>
      <c r="C80" s="2">
        <f>IF(A80&lt;=COUNT(Lines!$AE$2:$AE$500),IFERROR(INDEX(Lines!$H$2:$H$500,MATCH(A80,Lines!$AE$2:$AE$500,0)),""),IFERROR("",""))</f>
        <v/>
      </c>
      <c r="D80" s="2">
        <f>IF(A80&lt;=COUNT(Lines!$AE$2:$AE$500),IFERROR(INDEX(Lines!$I$2:$I$500,MATCH(A80,Lines!$AE$2:$AE$500,0)),""),IFERROR("",""))</f>
        <v/>
      </c>
      <c r="E80" s="2">
        <f>IF(A80&lt;=COUNT(Lines!$AE$2:$AE$500),IFERROR(INDEX(Lines!$J$2:$J$500,MATCH(A80,Lines!$AE$2:$AE$500,0))&amp;"",""),IFERROR("",""))</f>
        <v/>
      </c>
      <c r="F80" s="2">
        <f>IF(A80&lt;=COUNT(Lines!$AE$2:$AE$500),IFERROR(INDEX(Lines!$AD$2:$AD$500,MATCH(A80,Lines!$AE$2:$AE$500,0))&amp;"",""),IFERROR(INDEX(Docs!$AC$2:$AC$51,MATCH(A80-COUNT(Lines!$AE$2:$AE$500),Docs!$AD$2:$AD$51,0))&amp;"",""))</f>
        <v/>
      </c>
    </row>
    <row r="81">
      <c r="A81" s="2" t="n">
        <v>80</v>
      </c>
      <c r="B81" s="2">
        <f>IF(A81&lt;=COUNT(Lines!$AE$2:$AE$500),IFERROR(INDEX(Lines!$E$2:$E$500,MATCH(A81,Lines!$AE$2:$AE$500,0))&amp;"",""),IFERROR(INDEX(Docs!$C$2:$C$51,MATCH(A81-COUNT(Lines!$AE$2:$AE$500),Docs!$AD$2:$AD$51,0))&amp;"",""))</f>
        <v/>
      </c>
      <c r="C81" s="2">
        <f>IF(A81&lt;=COUNT(Lines!$AE$2:$AE$500),IFERROR(INDEX(Lines!$H$2:$H$500,MATCH(A81,Lines!$AE$2:$AE$500,0)),""),IFERROR("",""))</f>
        <v/>
      </c>
      <c r="D81" s="2">
        <f>IF(A81&lt;=COUNT(Lines!$AE$2:$AE$500),IFERROR(INDEX(Lines!$I$2:$I$500,MATCH(A81,Lines!$AE$2:$AE$500,0)),""),IFERROR("",""))</f>
        <v/>
      </c>
      <c r="E81" s="2">
        <f>IF(A81&lt;=COUNT(Lines!$AE$2:$AE$500),IFERROR(INDEX(Lines!$J$2:$J$500,MATCH(A81,Lines!$AE$2:$AE$500,0))&amp;"",""),IFERROR("",""))</f>
        <v/>
      </c>
      <c r="F81" s="2">
        <f>IF(A81&lt;=COUNT(Lines!$AE$2:$AE$500),IFERROR(INDEX(Lines!$AD$2:$AD$500,MATCH(A81,Lines!$AE$2:$AE$500,0))&amp;"",""),IFERROR(INDEX(Docs!$AC$2:$AC$51,MATCH(A81-COUNT(Lines!$AE$2:$AE$500),Docs!$AD$2:$AD$51,0))&amp;"",""))</f>
        <v/>
      </c>
    </row>
    <row r="82">
      <c r="A82" s="2" t="n">
        <v>81</v>
      </c>
      <c r="B82" s="2">
        <f>IF(A82&lt;=COUNT(Lines!$AE$2:$AE$500),IFERROR(INDEX(Lines!$E$2:$E$500,MATCH(A82,Lines!$AE$2:$AE$500,0))&amp;"",""),IFERROR(INDEX(Docs!$C$2:$C$51,MATCH(A82-COUNT(Lines!$AE$2:$AE$500),Docs!$AD$2:$AD$51,0))&amp;"",""))</f>
        <v/>
      </c>
      <c r="C82" s="2">
        <f>IF(A82&lt;=COUNT(Lines!$AE$2:$AE$500),IFERROR(INDEX(Lines!$H$2:$H$500,MATCH(A82,Lines!$AE$2:$AE$500,0)),""),IFERROR("",""))</f>
        <v/>
      </c>
      <c r="D82" s="2">
        <f>IF(A82&lt;=COUNT(Lines!$AE$2:$AE$500),IFERROR(INDEX(Lines!$I$2:$I$500,MATCH(A82,Lines!$AE$2:$AE$500,0)),""),IFERROR("",""))</f>
        <v/>
      </c>
      <c r="E82" s="2">
        <f>IF(A82&lt;=COUNT(Lines!$AE$2:$AE$500),IFERROR(INDEX(Lines!$J$2:$J$500,MATCH(A82,Lines!$AE$2:$AE$500,0))&amp;"",""),IFERROR("",""))</f>
        <v/>
      </c>
      <c r="F82" s="2">
        <f>IF(A82&lt;=COUNT(Lines!$AE$2:$AE$500),IFERROR(INDEX(Lines!$AD$2:$AD$500,MATCH(A82,Lines!$AE$2:$AE$500,0))&amp;"",""),IFERROR(INDEX(Docs!$AC$2:$AC$51,MATCH(A82-COUNT(Lines!$AE$2:$AE$500),Docs!$AD$2:$AD$51,0))&amp;"",""))</f>
        <v/>
      </c>
    </row>
    <row r="83">
      <c r="A83" s="2" t="n">
        <v>82</v>
      </c>
      <c r="B83" s="2">
        <f>IF(A83&lt;=COUNT(Lines!$AE$2:$AE$500),IFERROR(INDEX(Lines!$E$2:$E$500,MATCH(A83,Lines!$AE$2:$AE$500,0))&amp;"",""),IFERROR(INDEX(Docs!$C$2:$C$51,MATCH(A83-COUNT(Lines!$AE$2:$AE$500),Docs!$AD$2:$AD$51,0))&amp;"",""))</f>
        <v/>
      </c>
      <c r="C83" s="2">
        <f>IF(A83&lt;=COUNT(Lines!$AE$2:$AE$500),IFERROR(INDEX(Lines!$H$2:$H$500,MATCH(A83,Lines!$AE$2:$AE$500,0)),""),IFERROR("",""))</f>
        <v/>
      </c>
      <c r="D83" s="2">
        <f>IF(A83&lt;=COUNT(Lines!$AE$2:$AE$500),IFERROR(INDEX(Lines!$I$2:$I$500,MATCH(A83,Lines!$AE$2:$AE$500,0)),""),IFERROR("",""))</f>
        <v/>
      </c>
      <c r="E83" s="2">
        <f>IF(A83&lt;=COUNT(Lines!$AE$2:$AE$500),IFERROR(INDEX(Lines!$J$2:$J$500,MATCH(A83,Lines!$AE$2:$AE$500,0))&amp;"",""),IFERROR("",""))</f>
        <v/>
      </c>
      <c r="F83" s="2">
        <f>IF(A83&lt;=COUNT(Lines!$AE$2:$AE$500),IFERROR(INDEX(Lines!$AD$2:$AD$500,MATCH(A83,Lines!$AE$2:$AE$500,0))&amp;"",""),IFERROR(INDEX(Docs!$AC$2:$AC$51,MATCH(A83-COUNT(Lines!$AE$2:$AE$500),Docs!$AD$2:$AD$51,0))&amp;"",""))</f>
        <v/>
      </c>
    </row>
    <row r="84">
      <c r="A84" s="2" t="n">
        <v>83</v>
      </c>
      <c r="B84" s="2">
        <f>IF(A84&lt;=COUNT(Lines!$AE$2:$AE$500),IFERROR(INDEX(Lines!$E$2:$E$500,MATCH(A84,Lines!$AE$2:$AE$500,0))&amp;"",""),IFERROR(INDEX(Docs!$C$2:$C$51,MATCH(A84-COUNT(Lines!$AE$2:$AE$500),Docs!$AD$2:$AD$51,0))&amp;"",""))</f>
        <v/>
      </c>
      <c r="C84" s="2">
        <f>IF(A84&lt;=COUNT(Lines!$AE$2:$AE$500),IFERROR(INDEX(Lines!$H$2:$H$500,MATCH(A84,Lines!$AE$2:$AE$500,0)),""),IFERROR("",""))</f>
        <v/>
      </c>
      <c r="D84" s="2">
        <f>IF(A84&lt;=COUNT(Lines!$AE$2:$AE$500),IFERROR(INDEX(Lines!$I$2:$I$500,MATCH(A84,Lines!$AE$2:$AE$500,0)),""),IFERROR("",""))</f>
        <v/>
      </c>
      <c r="E84" s="2">
        <f>IF(A84&lt;=COUNT(Lines!$AE$2:$AE$500),IFERROR(INDEX(Lines!$J$2:$J$500,MATCH(A84,Lines!$AE$2:$AE$500,0))&amp;"",""),IFERROR("",""))</f>
        <v/>
      </c>
      <c r="F84" s="2">
        <f>IF(A84&lt;=COUNT(Lines!$AE$2:$AE$500),IFERROR(INDEX(Lines!$AD$2:$AD$500,MATCH(A84,Lines!$AE$2:$AE$500,0))&amp;"",""),IFERROR(INDEX(Docs!$AC$2:$AC$51,MATCH(A84-COUNT(Lines!$AE$2:$AE$500),Docs!$AD$2:$AD$51,0))&amp;"",""))</f>
        <v/>
      </c>
    </row>
    <row r="85">
      <c r="A85" s="2" t="n">
        <v>84</v>
      </c>
      <c r="B85" s="2">
        <f>IF(A85&lt;=COUNT(Lines!$AE$2:$AE$500),IFERROR(INDEX(Lines!$E$2:$E$500,MATCH(A85,Lines!$AE$2:$AE$500,0))&amp;"",""),IFERROR(INDEX(Docs!$C$2:$C$51,MATCH(A85-COUNT(Lines!$AE$2:$AE$500),Docs!$AD$2:$AD$51,0))&amp;"",""))</f>
        <v/>
      </c>
      <c r="C85" s="2">
        <f>IF(A85&lt;=COUNT(Lines!$AE$2:$AE$500),IFERROR(INDEX(Lines!$H$2:$H$500,MATCH(A85,Lines!$AE$2:$AE$500,0)),""),IFERROR("",""))</f>
        <v/>
      </c>
      <c r="D85" s="2">
        <f>IF(A85&lt;=COUNT(Lines!$AE$2:$AE$500),IFERROR(INDEX(Lines!$I$2:$I$500,MATCH(A85,Lines!$AE$2:$AE$500,0)),""),IFERROR("",""))</f>
        <v/>
      </c>
      <c r="E85" s="2">
        <f>IF(A85&lt;=COUNT(Lines!$AE$2:$AE$500),IFERROR(INDEX(Lines!$J$2:$J$500,MATCH(A85,Lines!$AE$2:$AE$500,0))&amp;"",""),IFERROR("",""))</f>
        <v/>
      </c>
      <c r="F85" s="2">
        <f>IF(A85&lt;=COUNT(Lines!$AE$2:$AE$500),IFERROR(INDEX(Lines!$AD$2:$AD$500,MATCH(A85,Lines!$AE$2:$AE$500,0))&amp;"",""),IFERROR(INDEX(Docs!$AC$2:$AC$51,MATCH(A85-COUNT(Lines!$AE$2:$AE$500),Docs!$AD$2:$AD$51,0))&amp;"",""))</f>
        <v/>
      </c>
    </row>
    <row r="86">
      <c r="A86" s="2" t="n">
        <v>85</v>
      </c>
      <c r="B86" s="2">
        <f>IF(A86&lt;=COUNT(Lines!$AE$2:$AE$500),IFERROR(INDEX(Lines!$E$2:$E$500,MATCH(A86,Lines!$AE$2:$AE$500,0))&amp;"",""),IFERROR(INDEX(Docs!$C$2:$C$51,MATCH(A86-COUNT(Lines!$AE$2:$AE$500),Docs!$AD$2:$AD$51,0))&amp;"",""))</f>
        <v/>
      </c>
      <c r="C86" s="2">
        <f>IF(A86&lt;=COUNT(Lines!$AE$2:$AE$500),IFERROR(INDEX(Lines!$H$2:$H$500,MATCH(A86,Lines!$AE$2:$AE$500,0)),""),IFERROR("",""))</f>
        <v/>
      </c>
      <c r="D86" s="2">
        <f>IF(A86&lt;=COUNT(Lines!$AE$2:$AE$500),IFERROR(INDEX(Lines!$I$2:$I$500,MATCH(A86,Lines!$AE$2:$AE$500,0)),""),IFERROR("",""))</f>
        <v/>
      </c>
      <c r="E86" s="2">
        <f>IF(A86&lt;=COUNT(Lines!$AE$2:$AE$500),IFERROR(INDEX(Lines!$J$2:$J$500,MATCH(A86,Lines!$AE$2:$AE$500,0))&amp;"",""),IFERROR("",""))</f>
        <v/>
      </c>
      <c r="F86" s="2">
        <f>IF(A86&lt;=COUNT(Lines!$AE$2:$AE$500),IFERROR(INDEX(Lines!$AD$2:$AD$500,MATCH(A86,Lines!$AE$2:$AE$500,0))&amp;"",""),IFERROR(INDEX(Docs!$AC$2:$AC$51,MATCH(A86-COUNT(Lines!$AE$2:$AE$500),Docs!$AD$2:$AD$51,0))&amp;"",""))</f>
        <v/>
      </c>
    </row>
    <row r="87">
      <c r="A87" s="2" t="n">
        <v>86</v>
      </c>
      <c r="B87" s="2">
        <f>IF(A87&lt;=COUNT(Lines!$AE$2:$AE$500),IFERROR(INDEX(Lines!$E$2:$E$500,MATCH(A87,Lines!$AE$2:$AE$500,0))&amp;"",""),IFERROR(INDEX(Docs!$C$2:$C$51,MATCH(A87-COUNT(Lines!$AE$2:$AE$500),Docs!$AD$2:$AD$51,0))&amp;"",""))</f>
        <v/>
      </c>
      <c r="C87" s="2">
        <f>IF(A87&lt;=COUNT(Lines!$AE$2:$AE$500),IFERROR(INDEX(Lines!$H$2:$H$500,MATCH(A87,Lines!$AE$2:$AE$500,0)),""),IFERROR("",""))</f>
        <v/>
      </c>
      <c r="D87" s="2">
        <f>IF(A87&lt;=COUNT(Lines!$AE$2:$AE$500),IFERROR(INDEX(Lines!$I$2:$I$500,MATCH(A87,Lines!$AE$2:$AE$500,0)),""),IFERROR("",""))</f>
        <v/>
      </c>
      <c r="E87" s="2">
        <f>IF(A87&lt;=COUNT(Lines!$AE$2:$AE$500),IFERROR(INDEX(Lines!$J$2:$J$500,MATCH(A87,Lines!$AE$2:$AE$500,0))&amp;"",""),IFERROR("",""))</f>
        <v/>
      </c>
      <c r="F87" s="2">
        <f>IF(A87&lt;=COUNT(Lines!$AE$2:$AE$500),IFERROR(INDEX(Lines!$AD$2:$AD$500,MATCH(A87,Lines!$AE$2:$AE$500,0))&amp;"",""),IFERROR(INDEX(Docs!$AC$2:$AC$51,MATCH(A87-COUNT(Lines!$AE$2:$AE$500),Docs!$AD$2:$AD$51,0))&amp;"",""))</f>
        <v/>
      </c>
    </row>
    <row r="88">
      <c r="A88" s="2" t="n">
        <v>87</v>
      </c>
      <c r="B88" s="2">
        <f>IF(A88&lt;=COUNT(Lines!$AE$2:$AE$500),IFERROR(INDEX(Lines!$E$2:$E$500,MATCH(A88,Lines!$AE$2:$AE$500,0))&amp;"",""),IFERROR(INDEX(Docs!$C$2:$C$51,MATCH(A88-COUNT(Lines!$AE$2:$AE$500),Docs!$AD$2:$AD$51,0))&amp;"",""))</f>
        <v/>
      </c>
      <c r="C88" s="2">
        <f>IF(A88&lt;=COUNT(Lines!$AE$2:$AE$500),IFERROR(INDEX(Lines!$H$2:$H$500,MATCH(A88,Lines!$AE$2:$AE$500,0)),""),IFERROR("",""))</f>
        <v/>
      </c>
      <c r="D88" s="2">
        <f>IF(A88&lt;=COUNT(Lines!$AE$2:$AE$500),IFERROR(INDEX(Lines!$I$2:$I$500,MATCH(A88,Lines!$AE$2:$AE$500,0)),""),IFERROR("",""))</f>
        <v/>
      </c>
      <c r="E88" s="2">
        <f>IF(A88&lt;=COUNT(Lines!$AE$2:$AE$500),IFERROR(INDEX(Lines!$J$2:$J$500,MATCH(A88,Lines!$AE$2:$AE$500,0))&amp;"",""),IFERROR("",""))</f>
        <v/>
      </c>
      <c r="F88" s="2">
        <f>IF(A88&lt;=COUNT(Lines!$AE$2:$AE$500),IFERROR(INDEX(Lines!$AD$2:$AD$500,MATCH(A88,Lines!$AE$2:$AE$500,0))&amp;"",""),IFERROR(INDEX(Docs!$AC$2:$AC$51,MATCH(A88-COUNT(Lines!$AE$2:$AE$500),Docs!$AD$2:$AD$51,0))&amp;"",""))</f>
        <v/>
      </c>
    </row>
    <row r="89">
      <c r="A89" s="2" t="n">
        <v>88</v>
      </c>
      <c r="B89" s="2">
        <f>IF(A89&lt;=COUNT(Lines!$AE$2:$AE$500),IFERROR(INDEX(Lines!$E$2:$E$500,MATCH(A89,Lines!$AE$2:$AE$500,0))&amp;"",""),IFERROR(INDEX(Docs!$C$2:$C$51,MATCH(A89-COUNT(Lines!$AE$2:$AE$500),Docs!$AD$2:$AD$51,0))&amp;"",""))</f>
        <v/>
      </c>
      <c r="C89" s="2">
        <f>IF(A89&lt;=COUNT(Lines!$AE$2:$AE$500),IFERROR(INDEX(Lines!$H$2:$H$500,MATCH(A89,Lines!$AE$2:$AE$500,0)),""),IFERROR("",""))</f>
        <v/>
      </c>
      <c r="D89" s="2">
        <f>IF(A89&lt;=COUNT(Lines!$AE$2:$AE$500),IFERROR(INDEX(Lines!$I$2:$I$500,MATCH(A89,Lines!$AE$2:$AE$500,0)),""),IFERROR("",""))</f>
        <v/>
      </c>
      <c r="E89" s="2">
        <f>IF(A89&lt;=COUNT(Lines!$AE$2:$AE$500),IFERROR(INDEX(Lines!$J$2:$J$500,MATCH(A89,Lines!$AE$2:$AE$500,0))&amp;"",""),IFERROR("",""))</f>
        <v/>
      </c>
      <c r="F89" s="2">
        <f>IF(A89&lt;=COUNT(Lines!$AE$2:$AE$500),IFERROR(INDEX(Lines!$AD$2:$AD$500,MATCH(A89,Lines!$AE$2:$AE$500,0))&amp;"",""),IFERROR(INDEX(Docs!$AC$2:$AC$51,MATCH(A89-COUNT(Lines!$AE$2:$AE$500),Docs!$AD$2:$AD$51,0))&amp;"",""))</f>
        <v/>
      </c>
    </row>
    <row r="90">
      <c r="A90" s="2" t="n">
        <v>89</v>
      </c>
      <c r="B90" s="2">
        <f>IF(A90&lt;=COUNT(Lines!$AE$2:$AE$500),IFERROR(INDEX(Lines!$E$2:$E$500,MATCH(A90,Lines!$AE$2:$AE$500,0))&amp;"",""),IFERROR(INDEX(Docs!$C$2:$C$51,MATCH(A90-COUNT(Lines!$AE$2:$AE$500),Docs!$AD$2:$AD$51,0))&amp;"",""))</f>
        <v/>
      </c>
      <c r="C90" s="2">
        <f>IF(A90&lt;=COUNT(Lines!$AE$2:$AE$500),IFERROR(INDEX(Lines!$H$2:$H$500,MATCH(A90,Lines!$AE$2:$AE$500,0)),""),IFERROR("",""))</f>
        <v/>
      </c>
      <c r="D90" s="2">
        <f>IF(A90&lt;=COUNT(Lines!$AE$2:$AE$500),IFERROR(INDEX(Lines!$I$2:$I$500,MATCH(A90,Lines!$AE$2:$AE$500,0)),""),IFERROR("",""))</f>
        <v/>
      </c>
      <c r="E90" s="2">
        <f>IF(A90&lt;=COUNT(Lines!$AE$2:$AE$500),IFERROR(INDEX(Lines!$J$2:$J$500,MATCH(A90,Lines!$AE$2:$AE$500,0))&amp;"",""),IFERROR("",""))</f>
        <v/>
      </c>
      <c r="F90" s="2">
        <f>IF(A90&lt;=COUNT(Lines!$AE$2:$AE$500),IFERROR(INDEX(Lines!$AD$2:$AD$500,MATCH(A90,Lines!$AE$2:$AE$500,0))&amp;"",""),IFERROR(INDEX(Docs!$AC$2:$AC$51,MATCH(A90-COUNT(Lines!$AE$2:$AE$500),Docs!$AD$2:$AD$51,0))&amp;"",""))</f>
        <v/>
      </c>
    </row>
    <row r="91">
      <c r="A91" s="2" t="n">
        <v>90</v>
      </c>
      <c r="B91" s="2">
        <f>IF(A91&lt;=COUNT(Lines!$AE$2:$AE$500),IFERROR(INDEX(Lines!$E$2:$E$500,MATCH(A91,Lines!$AE$2:$AE$500,0))&amp;"",""),IFERROR(INDEX(Docs!$C$2:$C$51,MATCH(A91-COUNT(Lines!$AE$2:$AE$500),Docs!$AD$2:$AD$51,0))&amp;"",""))</f>
        <v/>
      </c>
      <c r="C91" s="2">
        <f>IF(A91&lt;=COUNT(Lines!$AE$2:$AE$500),IFERROR(INDEX(Lines!$H$2:$H$500,MATCH(A91,Lines!$AE$2:$AE$500,0)),""),IFERROR("",""))</f>
        <v/>
      </c>
      <c r="D91" s="2">
        <f>IF(A91&lt;=COUNT(Lines!$AE$2:$AE$500),IFERROR(INDEX(Lines!$I$2:$I$500,MATCH(A91,Lines!$AE$2:$AE$500,0)),""),IFERROR("",""))</f>
        <v/>
      </c>
      <c r="E91" s="2">
        <f>IF(A91&lt;=COUNT(Lines!$AE$2:$AE$500),IFERROR(INDEX(Lines!$J$2:$J$500,MATCH(A91,Lines!$AE$2:$AE$500,0))&amp;"",""),IFERROR("",""))</f>
        <v/>
      </c>
      <c r="F91" s="2">
        <f>IF(A91&lt;=COUNT(Lines!$AE$2:$AE$500),IFERROR(INDEX(Lines!$AD$2:$AD$500,MATCH(A91,Lines!$AE$2:$AE$500,0))&amp;"",""),IFERROR(INDEX(Docs!$AC$2:$AC$51,MATCH(A91-COUNT(Lines!$AE$2:$AE$500),Docs!$AD$2:$AD$51,0))&amp;"",""))</f>
        <v/>
      </c>
    </row>
    <row r="92">
      <c r="A92" s="2" t="n">
        <v>91</v>
      </c>
      <c r="B92" s="2">
        <f>IF(A92&lt;=COUNT(Lines!$AE$2:$AE$500),IFERROR(INDEX(Lines!$E$2:$E$500,MATCH(A92,Lines!$AE$2:$AE$500,0))&amp;"",""),IFERROR(INDEX(Docs!$C$2:$C$51,MATCH(A92-COUNT(Lines!$AE$2:$AE$500),Docs!$AD$2:$AD$51,0))&amp;"",""))</f>
        <v/>
      </c>
      <c r="C92" s="2">
        <f>IF(A92&lt;=COUNT(Lines!$AE$2:$AE$500),IFERROR(INDEX(Lines!$H$2:$H$500,MATCH(A92,Lines!$AE$2:$AE$500,0)),""),IFERROR("",""))</f>
        <v/>
      </c>
      <c r="D92" s="2">
        <f>IF(A92&lt;=COUNT(Lines!$AE$2:$AE$500),IFERROR(INDEX(Lines!$I$2:$I$500,MATCH(A92,Lines!$AE$2:$AE$500,0)),""),IFERROR("",""))</f>
        <v/>
      </c>
      <c r="E92" s="2">
        <f>IF(A92&lt;=COUNT(Lines!$AE$2:$AE$500),IFERROR(INDEX(Lines!$J$2:$J$500,MATCH(A92,Lines!$AE$2:$AE$500,0))&amp;"",""),IFERROR("",""))</f>
        <v/>
      </c>
      <c r="F92" s="2">
        <f>IF(A92&lt;=COUNT(Lines!$AE$2:$AE$500),IFERROR(INDEX(Lines!$AD$2:$AD$500,MATCH(A92,Lines!$AE$2:$AE$500,0))&amp;"",""),IFERROR(INDEX(Docs!$AC$2:$AC$51,MATCH(A92-COUNT(Lines!$AE$2:$AE$500),Docs!$AD$2:$AD$51,0))&amp;"",""))</f>
        <v/>
      </c>
    </row>
    <row r="93">
      <c r="A93" s="2" t="n">
        <v>92</v>
      </c>
      <c r="B93" s="2">
        <f>IF(A93&lt;=COUNT(Lines!$AE$2:$AE$500),IFERROR(INDEX(Lines!$E$2:$E$500,MATCH(A93,Lines!$AE$2:$AE$500,0))&amp;"",""),IFERROR(INDEX(Docs!$C$2:$C$51,MATCH(A93-COUNT(Lines!$AE$2:$AE$500),Docs!$AD$2:$AD$51,0))&amp;"",""))</f>
        <v/>
      </c>
      <c r="C93" s="2">
        <f>IF(A93&lt;=COUNT(Lines!$AE$2:$AE$500),IFERROR(INDEX(Lines!$H$2:$H$500,MATCH(A93,Lines!$AE$2:$AE$500,0)),""),IFERROR("",""))</f>
        <v/>
      </c>
      <c r="D93" s="2">
        <f>IF(A93&lt;=COUNT(Lines!$AE$2:$AE$500),IFERROR(INDEX(Lines!$I$2:$I$500,MATCH(A93,Lines!$AE$2:$AE$500,0)),""),IFERROR("",""))</f>
        <v/>
      </c>
      <c r="E93" s="2">
        <f>IF(A93&lt;=COUNT(Lines!$AE$2:$AE$500),IFERROR(INDEX(Lines!$J$2:$J$500,MATCH(A93,Lines!$AE$2:$AE$500,0))&amp;"",""),IFERROR("",""))</f>
        <v/>
      </c>
      <c r="F93" s="2">
        <f>IF(A93&lt;=COUNT(Lines!$AE$2:$AE$500),IFERROR(INDEX(Lines!$AD$2:$AD$500,MATCH(A93,Lines!$AE$2:$AE$500,0))&amp;"",""),IFERROR(INDEX(Docs!$AC$2:$AC$51,MATCH(A93-COUNT(Lines!$AE$2:$AE$500),Docs!$AD$2:$AD$51,0))&amp;"",""))</f>
        <v/>
      </c>
    </row>
    <row r="94">
      <c r="A94" s="2" t="n">
        <v>93</v>
      </c>
      <c r="B94" s="2">
        <f>IF(A94&lt;=COUNT(Lines!$AE$2:$AE$500),IFERROR(INDEX(Lines!$E$2:$E$500,MATCH(A94,Lines!$AE$2:$AE$500,0))&amp;"",""),IFERROR(INDEX(Docs!$C$2:$C$51,MATCH(A94-COUNT(Lines!$AE$2:$AE$500),Docs!$AD$2:$AD$51,0))&amp;"",""))</f>
        <v/>
      </c>
      <c r="C94" s="2">
        <f>IF(A94&lt;=COUNT(Lines!$AE$2:$AE$500),IFERROR(INDEX(Lines!$H$2:$H$500,MATCH(A94,Lines!$AE$2:$AE$500,0)),""),IFERROR("",""))</f>
        <v/>
      </c>
      <c r="D94" s="2">
        <f>IF(A94&lt;=COUNT(Lines!$AE$2:$AE$500),IFERROR(INDEX(Lines!$I$2:$I$500,MATCH(A94,Lines!$AE$2:$AE$500,0)),""),IFERROR("",""))</f>
        <v/>
      </c>
      <c r="E94" s="2">
        <f>IF(A94&lt;=COUNT(Lines!$AE$2:$AE$500),IFERROR(INDEX(Lines!$J$2:$J$500,MATCH(A94,Lines!$AE$2:$AE$500,0))&amp;"",""),IFERROR("",""))</f>
        <v/>
      </c>
      <c r="F94" s="2">
        <f>IF(A94&lt;=COUNT(Lines!$AE$2:$AE$500),IFERROR(INDEX(Lines!$AD$2:$AD$500,MATCH(A94,Lines!$AE$2:$AE$500,0))&amp;"",""),IFERROR(INDEX(Docs!$AC$2:$AC$51,MATCH(A94-COUNT(Lines!$AE$2:$AE$500),Docs!$AD$2:$AD$51,0))&amp;"",""))</f>
        <v/>
      </c>
    </row>
    <row r="95">
      <c r="A95" s="2" t="n">
        <v>94</v>
      </c>
      <c r="B95" s="2">
        <f>IF(A95&lt;=COUNT(Lines!$AE$2:$AE$500),IFERROR(INDEX(Lines!$E$2:$E$500,MATCH(A95,Lines!$AE$2:$AE$500,0))&amp;"",""),IFERROR(INDEX(Docs!$C$2:$C$51,MATCH(A95-COUNT(Lines!$AE$2:$AE$500),Docs!$AD$2:$AD$51,0))&amp;"",""))</f>
        <v/>
      </c>
      <c r="C95" s="2">
        <f>IF(A95&lt;=COUNT(Lines!$AE$2:$AE$500),IFERROR(INDEX(Lines!$H$2:$H$500,MATCH(A95,Lines!$AE$2:$AE$500,0)),""),IFERROR("",""))</f>
        <v/>
      </c>
      <c r="D95" s="2">
        <f>IF(A95&lt;=COUNT(Lines!$AE$2:$AE$500),IFERROR(INDEX(Lines!$I$2:$I$500,MATCH(A95,Lines!$AE$2:$AE$500,0)),""),IFERROR("",""))</f>
        <v/>
      </c>
      <c r="E95" s="2">
        <f>IF(A95&lt;=COUNT(Lines!$AE$2:$AE$500),IFERROR(INDEX(Lines!$J$2:$J$500,MATCH(A95,Lines!$AE$2:$AE$500,0))&amp;"",""),IFERROR("",""))</f>
        <v/>
      </c>
      <c r="F95" s="2">
        <f>IF(A95&lt;=COUNT(Lines!$AE$2:$AE$500),IFERROR(INDEX(Lines!$AD$2:$AD$500,MATCH(A95,Lines!$AE$2:$AE$500,0))&amp;"",""),IFERROR(INDEX(Docs!$AC$2:$AC$51,MATCH(A95-COUNT(Lines!$AE$2:$AE$500),Docs!$AD$2:$AD$51,0))&amp;"",""))</f>
        <v/>
      </c>
    </row>
    <row r="96">
      <c r="A96" s="2" t="n">
        <v>95</v>
      </c>
      <c r="B96" s="2">
        <f>IF(A96&lt;=COUNT(Lines!$AE$2:$AE$500),IFERROR(INDEX(Lines!$E$2:$E$500,MATCH(A96,Lines!$AE$2:$AE$500,0))&amp;"",""),IFERROR(INDEX(Docs!$C$2:$C$51,MATCH(A96-COUNT(Lines!$AE$2:$AE$500),Docs!$AD$2:$AD$51,0))&amp;"",""))</f>
        <v/>
      </c>
      <c r="C96" s="2">
        <f>IF(A96&lt;=COUNT(Lines!$AE$2:$AE$500),IFERROR(INDEX(Lines!$H$2:$H$500,MATCH(A96,Lines!$AE$2:$AE$500,0)),""),IFERROR("",""))</f>
        <v/>
      </c>
      <c r="D96" s="2">
        <f>IF(A96&lt;=COUNT(Lines!$AE$2:$AE$500),IFERROR(INDEX(Lines!$I$2:$I$500,MATCH(A96,Lines!$AE$2:$AE$500,0)),""),IFERROR("",""))</f>
        <v/>
      </c>
      <c r="E96" s="2">
        <f>IF(A96&lt;=COUNT(Lines!$AE$2:$AE$500),IFERROR(INDEX(Lines!$J$2:$J$500,MATCH(A96,Lines!$AE$2:$AE$500,0))&amp;"",""),IFERROR("",""))</f>
        <v/>
      </c>
      <c r="F96" s="2">
        <f>IF(A96&lt;=COUNT(Lines!$AE$2:$AE$500),IFERROR(INDEX(Lines!$AD$2:$AD$500,MATCH(A96,Lines!$AE$2:$AE$500,0))&amp;"",""),IFERROR(INDEX(Docs!$AC$2:$AC$51,MATCH(A96-COUNT(Lines!$AE$2:$AE$500),Docs!$AD$2:$AD$51,0))&amp;"",""))</f>
        <v/>
      </c>
    </row>
    <row r="97">
      <c r="A97" s="2" t="n">
        <v>96</v>
      </c>
      <c r="B97" s="2">
        <f>IF(A97&lt;=COUNT(Lines!$AE$2:$AE$500),IFERROR(INDEX(Lines!$E$2:$E$500,MATCH(A97,Lines!$AE$2:$AE$500,0))&amp;"",""),IFERROR(INDEX(Docs!$C$2:$C$51,MATCH(A97-COUNT(Lines!$AE$2:$AE$500),Docs!$AD$2:$AD$51,0))&amp;"",""))</f>
        <v/>
      </c>
      <c r="C97" s="2">
        <f>IF(A97&lt;=COUNT(Lines!$AE$2:$AE$500),IFERROR(INDEX(Lines!$H$2:$H$500,MATCH(A97,Lines!$AE$2:$AE$500,0)),""),IFERROR("",""))</f>
        <v/>
      </c>
      <c r="D97" s="2">
        <f>IF(A97&lt;=COUNT(Lines!$AE$2:$AE$500),IFERROR(INDEX(Lines!$I$2:$I$500,MATCH(A97,Lines!$AE$2:$AE$500,0)),""),IFERROR("",""))</f>
        <v/>
      </c>
      <c r="E97" s="2">
        <f>IF(A97&lt;=COUNT(Lines!$AE$2:$AE$500),IFERROR(INDEX(Lines!$J$2:$J$500,MATCH(A97,Lines!$AE$2:$AE$500,0))&amp;"",""),IFERROR("",""))</f>
        <v/>
      </c>
      <c r="F97" s="2">
        <f>IF(A97&lt;=COUNT(Lines!$AE$2:$AE$500),IFERROR(INDEX(Lines!$AD$2:$AD$500,MATCH(A97,Lines!$AE$2:$AE$500,0))&amp;"",""),IFERROR(INDEX(Docs!$AC$2:$AC$51,MATCH(A97-COUNT(Lines!$AE$2:$AE$500),Docs!$AD$2:$AD$51,0))&amp;"",""))</f>
        <v/>
      </c>
    </row>
    <row r="98">
      <c r="A98" s="2" t="n">
        <v>97</v>
      </c>
      <c r="B98" s="2">
        <f>IF(A98&lt;=COUNT(Lines!$AE$2:$AE$500),IFERROR(INDEX(Lines!$E$2:$E$500,MATCH(A98,Lines!$AE$2:$AE$500,0))&amp;"",""),IFERROR(INDEX(Docs!$C$2:$C$51,MATCH(A98-COUNT(Lines!$AE$2:$AE$500),Docs!$AD$2:$AD$51,0))&amp;"",""))</f>
        <v/>
      </c>
      <c r="C98" s="2">
        <f>IF(A98&lt;=COUNT(Lines!$AE$2:$AE$500),IFERROR(INDEX(Lines!$H$2:$H$500,MATCH(A98,Lines!$AE$2:$AE$500,0)),""),IFERROR("",""))</f>
        <v/>
      </c>
      <c r="D98" s="2">
        <f>IF(A98&lt;=COUNT(Lines!$AE$2:$AE$500),IFERROR(INDEX(Lines!$I$2:$I$500,MATCH(A98,Lines!$AE$2:$AE$500,0)),""),IFERROR("",""))</f>
        <v/>
      </c>
      <c r="E98" s="2">
        <f>IF(A98&lt;=COUNT(Lines!$AE$2:$AE$500),IFERROR(INDEX(Lines!$J$2:$J$500,MATCH(A98,Lines!$AE$2:$AE$500,0))&amp;"",""),IFERROR("",""))</f>
        <v/>
      </c>
      <c r="F98" s="2">
        <f>IF(A98&lt;=COUNT(Lines!$AE$2:$AE$500),IFERROR(INDEX(Lines!$AD$2:$AD$500,MATCH(A98,Lines!$AE$2:$AE$500,0))&amp;"",""),IFERROR(INDEX(Docs!$AC$2:$AC$51,MATCH(A98-COUNT(Lines!$AE$2:$AE$500),Docs!$AD$2:$AD$51,0))&amp;"",""))</f>
        <v/>
      </c>
    </row>
    <row r="99">
      <c r="A99" s="2" t="n">
        <v>98</v>
      </c>
      <c r="B99" s="2">
        <f>IF(A99&lt;=COUNT(Lines!$AE$2:$AE$500),IFERROR(INDEX(Lines!$E$2:$E$500,MATCH(A99,Lines!$AE$2:$AE$500,0))&amp;"",""),IFERROR(INDEX(Docs!$C$2:$C$51,MATCH(A99-COUNT(Lines!$AE$2:$AE$500),Docs!$AD$2:$AD$51,0))&amp;"",""))</f>
        <v/>
      </c>
      <c r="C99" s="2">
        <f>IF(A99&lt;=COUNT(Lines!$AE$2:$AE$500),IFERROR(INDEX(Lines!$H$2:$H$500,MATCH(A99,Lines!$AE$2:$AE$500,0)),""),IFERROR("",""))</f>
        <v/>
      </c>
      <c r="D99" s="2">
        <f>IF(A99&lt;=COUNT(Lines!$AE$2:$AE$500),IFERROR(INDEX(Lines!$I$2:$I$500,MATCH(A99,Lines!$AE$2:$AE$500,0)),""),IFERROR("",""))</f>
        <v/>
      </c>
      <c r="E99" s="2">
        <f>IF(A99&lt;=COUNT(Lines!$AE$2:$AE$500),IFERROR(INDEX(Lines!$J$2:$J$500,MATCH(A99,Lines!$AE$2:$AE$500,0))&amp;"",""),IFERROR("",""))</f>
        <v/>
      </c>
      <c r="F99" s="2">
        <f>IF(A99&lt;=COUNT(Lines!$AE$2:$AE$500),IFERROR(INDEX(Lines!$AD$2:$AD$500,MATCH(A99,Lines!$AE$2:$AE$500,0))&amp;"",""),IFERROR(INDEX(Docs!$AC$2:$AC$51,MATCH(A99-COUNT(Lines!$AE$2:$AE$500),Docs!$AD$2:$AD$51,0))&amp;"",""))</f>
        <v/>
      </c>
    </row>
    <row r="100">
      <c r="A100" s="2" t="n">
        <v>99</v>
      </c>
      <c r="B100" s="2">
        <f>IF(A100&lt;=COUNT(Lines!$AE$2:$AE$500),IFERROR(INDEX(Lines!$E$2:$E$500,MATCH(A100,Lines!$AE$2:$AE$500,0))&amp;"",""),IFERROR(INDEX(Docs!$C$2:$C$51,MATCH(A100-COUNT(Lines!$AE$2:$AE$500),Docs!$AD$2:$AD$51,0))&amp;"",""))</f>
        <v/>
      </c>
      <c r="C100" s="2">
        <f>IF(A100&lt;=COUNT(Lines!$AE$2:$AE$500),IFERROR(INDEX(Lines!$H$2:$H$500,MATCH(A100,Lines!$AE$2:$AE$500,0)),""),IFERROR("",""))</f>
        <v/>
      </c>
      <c r="D100" s="2">
        <f>IF(A100&lt;=COUNT(Lines!$AE$2:$AE$500),IFERROR(INDEX(Lines!$I$2:$I$500,MATCH(A100,Lines!$AE$2:$AE$500,0)),""),IFERROR("",""))</f>
        <v/>
      </c>
      <c r="E100" s="2">
        <f>IF(A100&lt;=COUNT(Lines!$AE$2:$AE$500),IFERROR(INDEX(Lines!$J$2:$J$500,MATCH(A100,Lines!$AE$2:$AE$500,0))&amp;"",""),IFERROR("",""))</f>
        <v/>
      </c>
      <c r="F100" s="2">
        <f>IF(A100&lt;=COUNT(Lines!$AE$2:$AE$500),IFERROR(INDEX(Lines!$AD$2:$AD$500,MATCH(A100,Lines!$AE$2:$AE$500,0))&amp;"",""),IFERROR(INDEX(Docs!$AC$2:$AC$51,MATCH(A100-COUNT(Lines!$AE$2:$AE$500),Docs!$AD$2:$AD$51,0))&amp;"",""))</f>
        <v/>
      </c>
    </row>
    <row r="101">
      <c r="A101" s="2" t="n">
        <v>100</v>
      </c>
      <c r="B101" s="2">
        <f>IF(A101&lt;=COUNT(Lines!$AE$2:$AE$500),IFERROR(INDEX(Lines!$E$2:$E$500,MATCH(A101,Lines!$AE$2:$AE$500,0))&amp;"",""),IFERROR(INDEX(Docs!$C$2:$C$51,MATCH(A101-COUNT(Lines!$AE$2:$AE$500),Docs!$AD$2:$AD$51,0))&amp;"",""))</f>
        <v/>
      </c>
      <c r="C101" s="2">
        <f>IF(A101&lt;=COUNT(Lines!$AE$2:$AE$500),IFERROR(INDEX(Lines!$H$2:$H$500,MATCH(A101,Lines!$AE$2:$AE$500,0)),""),IFERROR("",""))</f>
        <v/>
      </c>
      <c r="D101" s="2">
        <f>IF(A101&lt;=COUNT(Lines!$AE$2:$AE$500),IFERROR(INDEX(Lines!$I$2:$I$500,MATCH(A101,Lines!$AE$2:$AE$500,0)),""),IFERROR("",""))</f>
        <v/>
      </c>
      <c r="E101" s="2">
        <f>IF(A101&lt;=COUNT(Lines!$AE$2:$AE$500),IFERROR(INDEX(Lines!$J$2:$J$500,MATCH(A101,Lines!$AE$2:$AE$500,0))&amp;"",""),IFERROR("",""))</f>
        <v/>
      </c>
      <c r="F101" s="2">
        <f>IF(A101&lt;=COUNT(Lines!$AE$2:$AE$500),IFERROR(INDEX(Lines!$AD$2:$AD$500,MATCH(A101,Lines!$AE$2:$AE$500,0))&amp;"",""),IFERROR(INDEX(Docs!$AC$2:$AC$51,MATCH(A101-COUNT(Lines!$AE$2:$AE$500),Docs!$AD$2:$AD$51,0))&amp;"",""))</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2026-09-13T10:30:50Z</dcterms:created>
  <dcterms:modified xsi:type="dcterms:W3CDTF">2026-09-13T10:30:50Z</dcterms:modified>
</cp:coreProperties>
</file>